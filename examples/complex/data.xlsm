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ov\PycharmProjects\markus\examples\complex\"/>
    </mc:Choice>
  </mc:AlternateContent>
  <bookViews>
    <workbookView xWindow="0" yWindow="0" windowWidth="21030" windowHeight="7500"/>
  </bookViews>
  <sheets>
    <sheet name="cur_data" sheetId="1" r:id="rId1"/>
    <sheet name="contragent" sheetId="2" r:id="rId2"/>
    <sheet name="emp_info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" i="1" l="1"/>
  <c r="AL2" i="1"/>
  <c r="AI4" i="1"/>
  <c r="AJ2" i="1"/>
  <c r="AI2" i="1"/>
  <c r="AC2" i="1"/>
  <c r="AA2" i="1"/>
  <c r="AB2" i="1"/>
  <c r="D6" i="1"/>
  <c r="C6" i="1" s="1"/>
  <c r="D7" i="1"/>
  <c r="C7" i="1" s="1"/>
  <c r="D8" i="1"/>
  <c r="C8" i="1" s="1"/>
  <c r="D9" i="1"/>
  <c r="C9" i="1" s="1"/>
  <c r="D10" i="1"/>
  <c r="C10" i="1" s="1"/>
  <c r="D11" i="1"/>
  <c r="C11" i="1" s="1"/>
  <c r="D12" i="1"/>
  <c r="C12" i="1" s="1"/>
  <c r="D13" i="1"/>
  <c r="C13" i="1" s="1"/>
  <c r="D14" i="1"/>
  <c r="C14" i="1" s="1"/>
  <c r="D15" i="1"/>
  <c r="C15" i="1" s="1"/>
  <c r="D16" i="1"/>
  <c r="C16" i="1" s="1"/>
  <c r="D17" i="1"/>
  <c r="C17" i="1" s="1"/>
  <c r="D18" i="1"/>
  <c r="C18" i="1" s="1"/>
  <c r="D19" i="1"/>
  <c r="C19" i="1" s="1"/>
  <c r="D20" i="1"/>
  <c r="C20" i="1" s="1"/>
  <c r="D21" i="1"/>
  <c r="C21" i="1" s="1"/>
  <c r="D22" i="1"/>
  <c r="C22" i="1" s="1"/>
  <c r="D23" i="1"/>
  <c r="C23" i="1" s="1"/>
  <c r="D24" i="1"/>
  <c r="C24" i="1" s="1"/>
  <c r="D25" i="1"/>
  <c r="C25" i="1" s="1"/>
  <c r="D26" i="1"/>
  <c r="C26" i="1" s="1"/>
  <c r="D27" i="1"/>
  <c r="C27" i="1" s="1"/>
  <c r="D28" i="1"/>
  <c r="C28" i="1" s="1"/>
  <c r="D29" i="1"/>
  <c r="C29" i="1" s="1"/>
  <c r="D30" i="1"/>
  <c r="C30" i="1" s="1"/>
  <c r="D31" i="1"/>
  <c r="C31" i="1" s="1"/>
  <c r="D32" i="1"/>
  <c r="C32" i="1" s="1"/>
  <c r="D33" i="1"/>
  <c r="C33" i="1" s="1"/>
  <c r="D34" i="1"/>
  <c r="C34" i="1" s="1"/>
  <c r="D35" i="1"/>
  <c r="C35" i="1" s="1"/>
  <c r="D36" i="1"/>
  <c r="C36" i="1" s="1"/>
  <c r="D37" i="1"/>
  <c r="C37" i="1" s="1"/>
  <c r="D38" i="1"/>
  <c r="C38" i="1" s="1"/>
  <c r="D39" i="1"/>
  <c r="C39" i="1" s="1"/>
  <c r="D40" i="1"/>
  <c r="C40" i="1" s="1"/>
  <c r="D41" i="1"/>
  <c r="C41" i="1" s="1"/>
  <c r="D42" i="1"/>
  <c r="C42" i="1" s="1"/>
  <c r="D43" i="1"/>
  <c r="C43" i="1" s="1"/>
  <c r="D44" i="1"/>
  <c r="C44" i="1" s="1"/>
  <c r="D45" i="1"/>
  <c r="C45" i="1" s="1"/>
  <c r="D46" i="1"/>
  <c r="C46" i="1" s="1"/>
  <c r="D47" i="1"/>
  <c r="C47" i="1" s="1"/>
  <c r="D48" i="1"/>
  <c r="C48" i="1" s="1"/>
  <c r="D49" i="1"/>
  <c r="C49" i="1" s="1"/>
  <c r="D50" i="1"/>
  <c r="C50" i="1" s="1"/>
  <c r="D51" i="1"/>
  <c r="C51" i="1" s="1"/>
  <c r="D52" i="1"/>
  <c r="C52" i="1" s="1"/>
  <c r="D53" i="1"/>
  <c r="C53" i="1" s="1"/>
  <c r="D54" i="1"/>
  <c r="C54" i="1" s="1"/>
  <c r="D55" i="1"/>
  <c r="C55" i="1" s="1"/>
  <c r="D56" i="1"/>
  <c r="C56" i="1" s="1"/>
  <c r="D57" i="1"/>
  <c r="C57" i="1" s="1"/>
  <c r="D58" i="1"/>
  <c r="C58" i="1" s="1"/>
  <c r="D59" i="1"/>
  <c r="C59" i="1" s="1"/>
  <c r="D60" i="1"/>
  <c r="C60" i="1" s="1"/>
  <c r="D61" i="1"/>
  <c r="C61" i="1" s="1"/>
  <c r="D62" i="1"/>
  <c r="C62" i="1" s="1"/>
  <c r="D63" i="1"/>
  <c r="C63" i="1" s="1"/>
  <c r="D64" i="1"/>
  <c r="C64" i="1" s="1"/>
  <c r="D65" i="1"/>
  <c r="C65" i="1" s="1"/>
  <c r="D66" i="1"/>
  <c r="C66" i="1" s="1"/>
  <c r="D67" i="1"/>
  <c r="C67" i="1" s="1"/>
  <c r="D68" i="1"/>
  <c r="C68" i="1" s="1"/>
  <c r="D69" i="1"/>
  <c r="C69" i="1" s="1"/>
  <c r="D70" i="1"/>
  <c r="C70" i="1" s="1"/>
  <c r="D71" i="1"/>
  <c r="C71" i="1" s="1"/>
  <c r="D72" i="1"/>
  <c r="C72" i="1" s="1"/>
  <c r="D73" i="1"/>
  <c r="C73" i="1" s="1"/>
  <c r="D74" i="1"/>
  <c r="C74" i="1" s="1"/>
  <c r="D75" i="1"/>
  <c r="C75" i="1" s="1"/>
  <c r="D76" i="1"/>
  <c r="C76" i="1" s="1"/>
  <c r="D77" i="1"/>
  <c r="C77" i="1" s="1"/>
  <c r="D78" i="1"/>
  <c r="C78" i="1" s="1"/>
  <c r="D79" i="1"/>
  <c r="C79" i="1" s="1"/>
  <c r="D80" i="1"/>
  <c r="C80" i="1" s="1"/>
  <c r="D81" i="1"/>
  <c r="C81" i="1" s="1"/>
  <c r="D82" i="1"/>
  <c r="C82" i="1" s="1"/>
  <c r="D83" i="1"/>
  <c r="C83" i="1" s="1"/>
  <c r="D84" i="1"/>
  <c r="C84" i="1" s="1"/>
  <c r="D85" i="1"/>
  <c r="C85" i="1" s="1"/>
  <c r="D86" i="1"/>
  <c r="C86" i="1" s="1"/>
  <c r="D87" i="1"/>
  <c r="C87" i="1" s="1"/>
  <c r="D88" i="1"/>
  <c r="C88" i="1" s="1"/>
  <c r="D89" i="1"/>
  <c r="C89" i="1" s="1"/>
  <c r="D90" i="1"/>
  <c r="C90" i="1" s="1"/>
  <c r="D91" i="1"/>
  <c r="C91" i="1" s="1"/>
  <c r="D92" i="1"/>
  <c r="C92" i="1" s="1"/>
  <c r="D93" i="1"/>
  <c r="C93" i="1" s="1"/>
  <c r="D94" i="1"/>
  <c r="C94" i="1" s="1"/>
  <c r="D95" i="1"/>
  <c r="C95" i="1" s="1"/>
  <c r="D96" i="1"/>
  <c r="C96" i="1" s="1"/>
  <c r="D97" i="1"/>
  <c r="C97" i="1" s="1"/>
  <c r="D98" i="1"/>
  <c r="C98" i="1" s="1"/>
  <c r="D99" i="1"/>
  <c r="C99" i="1" s="1"/>
  <c r="D100" i="1"/>
  <c r="C100" i="1" s="1"/>
  <c r="D3" i="1"/>
  <c r="C3" i="1" s="1"/>
  <c r="D4" i="1"/>
  <c r="C4" i="1" s="1"/>
  <c r="D5" i="1"/>
  <c r="C5" i="1" s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A14" i="1"/>
  <c r="S16" i="1" s="1"/>
  <c r="A12" i="1"/>
  <c r="R38" i="1" s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J83" i="1" l="1"/>
  <c r="J59" i="1"/>
  <c r="J35" i="1"/>
  <c r="J11" i="1"/>
  <c r="I84" i="1"/>
  <c r="I60" i="1"/>
  <c r="I36" i="1"/>
  <c r="I12" i="1"/>
  <c r="K86" i="1"/>
  <c r="K62" i="1"/>
  <c r="K38" i="1"/>
  <c r="K14" i="1"/>
  <c r="L88" i="1"/>
  <c r="L64" i="1"/>
  <c r="L40" i="1"/>
  <c r="L9" i="1"/>
  <c r="M59" i="1"/>
  <c r="N93" i="1"/>
  <c r="J90" i="1"/>
  <c r="J66" i="1"/>
  <c r="J54" i="1"/>
  <c r="J30" i="1"/>
  <c r="J18" i="1"/>
  <c r="I91" i="1"/>
  <c r="I79" i="1"/>
  <c r="I55" i="1"/>
  <c r="I43" i="1"/>
  <c r="I19" i="1"/>
  <c r="I7" i="1"/>
  <c r="K81" i="1"/>
  <c r="K69" i="1"/>
  <c r="K45" i="1"/>
  <c r="K33" i="1"/>
  <c r="K9" i="1"/>
  <c r="L95" i="1"/>
  <c r="L71" i="1"/>
  <c r="L23" i="1"/>
  <c r="J3" i="1"/>
  <c r="J89" i="1"/>
  <c r="J77" i="1"/>
  <c r="J65" i="1"/>
  <c r="J53" i="1"/>
  <c r="J41" i="1"/>
  <c r="J29" i="1"/>
  <c r="J17" i="1"/>
  <c r="J5" i="1"/>
  <c r="I90" i="1"/>
  <c r="I78" i="1"/>
  <c r="I66" i="1"/>
  <c r="I54" i="1"/>
  <c r="I42" i="1"/>
  <c r="I30" i="1"/>
  <c r="I18" i="1"/>
  <c r="I6" i="1"/>
  <c r="K92" i="1"/>
  <c r="K80" i="1"/>
  <c r="K68" i="1"/>
  <c r="K56" i="1"/>
  <c r="K44" i="1"/>
  <c r="K32" i="1"/>
  <c r="K20" i="1"/>
  <c r="K8" i="1"/>
  <c r="L94" i="1"/>
  <c r="L82" i="1"/>
  <c r="L70" i="1"/>
  <c r="L58" i="1"/>
  <c r="L46" i="1"/>
  <c r="L34" i="1"/>
  <c r="L21" i="1"/>
  <c r="M95" i="1"/>
  <c r="M71" i="1"/>
  <c r="M47" i="1"/>
  <c r="M13" i="1"/>
  <c r="N75" i="1"/>
  <c r="N39" i="1"/>
  <c r="Q90" i="1"/>
  <c r="Q18" i="1"/>
  <c r="R44" i="1"/>
  <c r="S70" i="1"/>
  <c r="J96" i="1"/>
  <c r="J84" i="1"/>
  <c r="J72" i="1"/>
  <c r="J60" i="1"/>
  <c r="J48" i="1"/>
  <c r="J36" i="1"/>
  <c r="J24" i="1"/>
  <c r="J12" i="1"/>
  <c r="I97" i="1"/>
  <c r="I85" i="1"/>
  <c r="I73" i="1"/>
  <c r="I61" i="1"/>
  <c r="I49" i="1"/>
  <c r="I37" i="1"/>
  <c r="I25" i="1"/>
  <c r="I13" i="1"/>
  <c r="K99" i="1"/>
  <c r="K87" i="1"/>
  <c r="K75" i="1"/>
  <c r="K63" i="1"/>
  <c r="K51" i="1"/>
  <c r="K39" i="1"/>
  <c r="K27" i="1"/>
  <c r="K15" i="1"/>
  <c r="L3" i="1"/>
  <c r="L89" i="1"/>
  <c r="L77" i="1"/>
  <c r="L65" i="1"/>
  <c r="L53" i="1"/>
  <c r="L41" i="1"/>
  <c r="L29" i="1"/>
  <c r="L11" i="1"/>
  <c r="M85" i="1"/>
  <c r="M61" i="1"/>
  <c r="M32" i="1"/>
  <c r="N94" i="1"/>
  <c r="N58" i="1"/>
  <c r="N22" i="1"/>
  <c r="Q60" i="1"/>
  <c r="R86" i="1"/>
  <c r="R14" i="1"/>
  <c r="S40" i="1"/>
  <c r="N21" i="1"/>
  <c r="Q54" i="1"/>
  <c r="R80" i="1"/>
  <c r="R8" i="1"/>
  <c r="S34" i="1"/>
  <c r="J95" i="1"/>
  <c r="J71" i="1"/>
  <c r="J47" i="1"/>
  <c r="J23" i="1"/>
  <c r="I96" i="1"/>
  <c r="I72" i="1"/>
  <c r="I48" i="1"/>
  <c r="I24" i="1"/>
  <c r="K98" i="1"/>
  <c r="K74" i="1"/>
  <c r="K50" i="1"/>
  <c r="K26" i="1"/>
  <c r="L100" i="1"/>
  <c r="L76" i="1"/>
  <c r="L52" i="1"/>
  <c r="L28" i="1"/>
  <c r="M83" i="1"/>
  <c r="M31" i="1"/>
  <c r="N57" i="1"/>
  <c r="I3" i="1"/>
  <c r="J78" i="1"/>
  <c r="J42" i="1"/>
  <c r="J6" i="1"/>
  <c r="I67" i="1"/>
  <c r="I31" i="1"/>
  <c r="K93" i="1"/>
  <c r="K57" i="1"/>
  <c r="K21" i="1"/>
  <c r="L83" i="1"/>
  <c r="L59" i="1"/>
  <c r="L47" i="1"/>
  <c r="L35" i="1"/>
  <c r="M97" i="1"/>
  <c r="M73" i="1"/>
  <c r="M49" i="1"/>
  <c r="M14" i="1"/>
  <c r="N76" i="1"/>
  <c r="N40" i="1"/>
  <c r="Q96" i="1"/>
  <c r="Q24" i="1"/>
  <c r="R50" i="1"/>
  <c r="S76" i="1"/>
  <c r="S4" i="1"/>
  <c r="J100" i="1"/>
  <c r="J94" i="1"/>
  <c r="J88" i="1"/>
  <c r="J82" i="1"/>
  <c r="J76" i="1"/>
  <c r="J70" i="1"/>
  <c r="J64" i="1"/>
  <c r="J58" i="1"/>
  <c r="J52" i="1"/>
  <c r="J46" i="1"/>
  <c r="J40" i="1"/>
  <c r="J34" i="1"/>
  <c r="J28" i="1"/>
  <c r="J22" i="1"/>
  <c r="J16" i="1"/>
  <c r="J10" i="1"/>
  <c r="J4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K97" i="1"/>
  <c r="K91" i="1"/>
  <c r="K85" i="1"/>
  <c r="K79" i="1"/>
  <c r="K73" i="1"/>
  <c r="K67" i="1"/>
  <c r="K61" i="1"/>
  <c r="K55" i="1"/>
  <c r="K49" i="1"/>
  <c r="K43" i="1"/>
  <c r="K37" i="1"/>
  <c r="K31" i="1"/>
  <c r="K25" i="1"/>
  <c r="K19" i="1"/>
  <c r="K13" i="1"/>
  <c r="K7" i="1"/>
  <c r="L99" i="1"/>
  <c r="L93" i="1"/>
  <c r="L87" i="1"/>
  <c r="L81" i="1"/>
  <c r="L75" i="1"/>
  <c r="L69" i="1"/>
  <c r="L63" i="1"/>
  <c r="L57" i="1"/>
  <c r="L51" i="1"/>
  <c r="L45" i="1"/>
  <c r="L39" i="1"/>
  <c r="L33" i="1"/>
  <c r="L27" i="1"/>
  <c r="L18" i="1"/>
  <c r="L6" i="1"/>
  <c r="M92" i="1"/>
  <c r="M80" i="1"/>
  <c r="M68" i="1"/>
  <c r="M56" i="1"/>
  <c r="M44" i="1"/>
  <c r="M26" i="1"/>
  <c r="M8" i="1"/>
  <c r="N88" i="1"/>
  <c r="N70" i="1"/>
  <c r="N52" i="1"/>
  <c r="N34" i="1"/>
  <c r="N16" i="1"/>
  <c r="Q84" i="1"/>
  <c r="Q48" i="1"/>
  <c r="Q12" i="1"/>
  <c r="R74" i="1"/>
  <c r="S100" i="1"/>
  <c r="S64" i="1"/>
  <c r="S28" i="1"/>
  <c r="R9" i="1"/>
  <c r="R15" i="1"/>
  <c r="R21" i="1"/>
  <c r="R27" i="1"/>
  <c r="R33" i="1"/>
  <c r="R39" i="1"/>
  <c r="R45" i="1"/>
  <c r="R51" i="1"/>
  <c r="R57" i="1"/>
  <c r="R63" i="1"/>
  <c r="R69" i="1"/>
  <c r="R75" i="1"/>
  <c r="R81" i="1"/>
  <c r="R87" i="1"/>
  <c r="R93" i="1"/>
  <c r="R99" i="1"/>
  <c r="Q7" i="1"/>
  <c r="Q13" i="1"/>
  <c r="Q19" i="1"/>
  <c r="Q25" i="1"/>
  <c r="Q31" i="1"/>
  <c r="Q37" i="1"/>
  <c r="Q43" i="1"/>
  <c r="Q49" i="1"/>
  <c r="Q55" i="1"/>
  <c r="Q61" i="1"/>
  <c r="Q67" i="1"/>
  <c r="Q73" i="1"/>
  <c r="Q79" i="1"/>
  <c r="Q85" i="1"/>
  <c r="Q91" i="1"/>
  <c r="Q97" i="1"/>
  <c r="N5" i="1"/>
  <c r="N11" i="1"/>
  <c r="N17" i="1"/>
  <c r="N23" i="1"/>
  <c r="N29" i="1"/>
  <c r="N35" i="1"/>
  <c r="N41" i="1"/>
  <c r="N47" i="1"/>
  <c r="N53" i="1"/>
  <c r="N59" i="1"/>
  <c r="N65" i="1"/>
  <c r="N71" i="1"/>
  <c r="N77" i="1"/>
  <c r="N83" i="1"/>
  <c r="N89" i="1"/>
  <c r="N95" i="1"/>
  <c r="N3" i="1"/>
  <c r="M9" i="1"/>
  <c r="M15" i="1"/>
  <c r="M21" i="1"/>
  <c r="M27" i="1"/>
  <c r="M33" i="1"/>
  <c r="M39" i="1"/>
  <c r="M45" i="1"/>
  <c r="M51" i="1"/>
  <c r="M57" i="1"/>
  <c r="M63" i="1"/>
  <c r="M69" i="1"/>
  <c r="M75" i="1"/>
  <c r="M81" i="1"/>
  <c r="M87" i="1"/>
  <c r="M93" i="1"/>
  <c r="M99" i="1"/>
  <c r="L7" i="1"/>
  <c r="L13" i="1"/>
  <c r="L19" i="1"/>
  <c r="R4" i="1"/>
  <c r="R10" i="1"/>
  <c r="R16" i="1"/>
  <c r="R22" i="1"/>
  <c r="R28" i="1"/>
  <c r="R34" i="1"/>
  <c r="R40" i="1"/>
  <c r="R46" i="1"/>
  <c r="R52" i="1"/>
  <c r="R58" i="1"/>
  <c r="R64" i="1"/>
  <c r="R70" i="1"/>
  <c r="R76" i="1"/>
  <c r="R82" i="1"/>
  <c r="R88" i="1"/>
  <c r="R94" i="1"/>
  <c r="R100" i="1"/>
  <c r="Q8" i="1"/>
  <c r="Q14" i="1"/>
  <c r="Q20" i="1"/>
  <c r="Q26" i="1"/>
  <c r="Q32" i="1"/>
  <c r="Q38" i="1"/>
  <c r="Q44" i="1"/>
  <c r="Q50" i="1"/>
  <c r="Q56" i="1"/>
  <c r="Q62" i="1"/>
  <c r="Q68" i="1"/>
  <c r="Q74" i="1"/>
  <c r="Q80" i="1"/>
  <c r="Q86" i="1"/>
  <c r="Q92" i="1"/>
  <c r="Q98" i="1"/>
  <c r="N6" i="1"/>
  <c r="N12" i="1"/>
  <c r="N18" i="1"/>
  <c r="N24" i="1"/>
  <c r="N30" i="1"/>
  <c r="N36" i="1"/>
  <c r="N42" i="1"/>
  <c r="N48" i="1"/>
  <c r="N54" i="1"/>
  <c r="N60" i="1"/>
  <c r="N66" i="1"/>
  <c r="N72" i="1"/>
  <c r="N78" i="1"/>
  <c r="N84" i="1"/>
  <c r="N90" i="1"/>
  <c r="N96" i="1"/>
  <c r="M4" i="1"/>
  <c r="M10" i="1"/>
  <c r="M16" i="1"/>
  <c r="M22" i="1"/>
  <c r="M28" i="1"/>
  <c r="M34" i="1"/>
  <c r="M40" i="1"/>
  <c r="M46" i="1"/>
  <c r="M52" i="1"/>
  <c r="M58" i="1"/>
  <c r="M64" i="1"/>
  <c r="M70" i="1"/>
  <c r="M76" i="1"/>
  <c r="M82" i="1"/>
  <c r="M88" i="1"/>
  <c r="M94" i="1"/>
  <c r="M100" i="1"/>
  <c r="L8" i="1"/>
  <c r="L14" i="1"/>
  <c r="L20" i="1"/>
  <c r="R5" i="1"/>
  <c r="R11" i="1"/>
  <c r="R17" i="1"/>
  <c r="R23" i="1"/>
  <c r="R29" i="1"/>
  <c r="R35" i="1"/>
  <c r="R41" i="1"/>
  <c r="R47" i="1"/>
  <c r="R53" i="1"/>
  <c r="R59" i="1"/>
  <c r="R65" i="1"/>
  <c r="R71" i="1"/>
  <c r="R77" i="1"/>
  <c r="R83" i="1"/>
  <c r="R89" i="1"/>
  <c r="R95" i="1"/>
  <c r="R3" i="1"/>
  <c r="Q9" i="1"/>
  <c r="Q15" i="1"/>
  <c r="Q21" i="1"/>
  <c r="Q27" i="1"/>
  <c r="Q33" i="1"/>
  <c r="Q39" i="1"/>
  <c r="Q45" i="1"/>
  <c r="Q51" i="1"/>
  <c r="Q57" i="1"/>
  <c r="Q63" i="1"/>
  <c r="Q69" i="1"/>
  <c r="Q75" i="1"/>
  <c r="Q81" i="1"/>
  <c r="Q87" i="1"/>
  <c r="Q93" i="1"/>
  <c r="Q99" i="1"/>
  <c r="N7" i="1"/>
  <c r="N13" i="1"/>
  <c r="N19" i="1"/>
  <c r="N25" i="1"/>
  <c r="N31" i="1"/>
  <c r="N37" i="1"/>
  <c r="N43" i="1"/>
  <c r="N49" i="1"/>
  <c r="N55" i="1"/>
  <c r="N61" i="1"/>
  <c r="N67" i="1"/>
  <c r="N73" i="1"/>
  <c r="N79" i="1"/>
  <c r="N85" i="1"/>
  <c r="N91" i="1"/>
  <c r="N97" i="1"/>
  <c r="M5" i="1"/>
  <c r="M11" i="1"/>
  <c r="M17" i="1"/>
  <c r="M23" i="1"/>
  <c r="M29" i="1"/>
  <c r="M35" i="1"/>
  <c r="M41" i="1"/>
  <c r="R6" i="1"/>
  <c r="R12" i="1"/>
  <c r="R18" i="1"/>
  <c r="R24" i="1"/>
  <c r="R30" i="1"/>
  <c r="R36" i="1"/>
  <c r="R42" i="1"/>
  <c r="R48" i="1"/>
  <c r="R54" i="1"/>
  <c r="R60" i="1"/>
  <c r="R66" i="1"/>
  <c r="R72" i="1"/>
  <c r="R78" i="1"/>
  <c r="R84" i="1"/>
  <c r="R90" i="1"/>
  <c r="R96" i="1"/>
  <c r="Q4" i="1"/>
  <c r="Q10" i="1"/>
  <c r="Q16" i="1"/>
  <c r="Q22" i="1"/>
  <c r="Q28" i="1"/>
  <c r="Q34" i="1"/>
  <c r="Q40" i="1"/>
  <c r="Q46" i="1"/>
  <c r="Q52" i="1"/>
  <c r="Q58" i="1"/>
  <c r="Q64" i="1"/>
  <c r="Q70" i="1"/>
  <c r="Q76" i="1"/>
  <c r="Q82" i="1"/>
  <c r="Q88" i="1"/>
  <c r="Q94" i="1"/>
  <c r="Q100" i="1"/>
  <c r="N8" i="1"/>
  <c r="N14" i="1"/>
  <c r="N20" i="1"/>
  <c r="N26" i="1"/>
  <c r="N32" i="1"/>
  <c r="N38" i="1"/>
  <c r="N44" i="1"/>
  <c r="N50" i="1"/>
  <c r="N56" i="1"/>
  <c r="N62" i="1"/>
  <c r="N68" i="1"/>
  <c r="N74" i="1"/>
  <c r="N80" i="1"/>
  <c r="N86" i="1"/>
  <c r="N92" i="1"/>
  <c r="N98" i="1"/>
  <c r="M6" i="1"/>
  <c r="M12" i="1"/>
  <c r="M18" i="1"/>
  <c r="M24" i="1"/>
  <c r="M30" i="1"/>
  <c r="M36" i="1"/>
  <c r="M42" i="1"/>
  <c r="M48" i="1"/>
  <c r="M54" i="1"/>
  <c r="M60" i="1"/>
  <c r="M66" i="1"/>
  <c r="M72" i="1"/>
  <c r="M78" i="1"/>
  <c r="M84" i="1"/>
  <c r="M90" i="1"/>
  <c r="M96" i="1"/>
  <c r="L4" i="1"/>
  <c r="L10" i="1"/>
  <c r="L16" i="1"/>
  <c r="L22" i="1"/>
  <c r="R7" i="1"/>
  <c r="R13" i="1"/>
  <c r="R19" i="1"/>
  <c r="R25" i="1"/>
  <c r="R31" i="1"/>
  <c r="R37" i="1"/>
  <c r="R43" i="1"/>
  <c r="R49" i="1"/>
  <c r="R55" i="1"/>
  <c r="R61" i="1"/>
  <c r="R67" i="1"/>
  <c r="R73" i="1"/>
  <c r="R79" i="1"/>
  <c r="R85" i="1"/>
  <c r="R91" i="1"/>
  <c r="R97" i="1"/>
  <c r="Q5" i="1"/>
  <c r="Q11" i="1"/>
  <c r="Q17" i="1"/>
  <c r="Q23" i="1"/>
  <c r="Q29" i="1"/>
  <c r="Q35" i="1"/>
  <c r="Q41" i="1"/>
  <c r="Q47" i="1"/>
  <c r="Q53" i="1"/>
  <c r="Q59" i="1"/>
  <c r="Q65" i="1"/>
  <c r="Q71" i="1"/>
  <c r="Q77" i="1"/>
  <c r="Q83" i="1"/>
  <c r="Q89" i="1"/>
  <c r="Q95" i="1"/>
  <c r="Q3" i="1"/>
  <c r="N9" i="1"/>
  <c r="J99" i="1"/>
  <c r="J93" i="1"/>
  <c r="J87" i="1"/>
  <c r="J81" i="1"/>
  <c r="J75" i="1"/>
  <c r="J69" i="1"/>
  <c r="J63" i="1"/>
  <c r="J57" i="1"/>
  <c r="J51" i="1"/>
  <c r="J45" i="1"/>
  <c r="J39" i="1"/>
  <c r="J33" i="1"/>
  <c r="J27" i="1"/>
  <c r="J21" i="1"/>
  <c r="J15" i="1"/>
  <c r="J9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K96" i="1"/>
  <c r="K90" i="1"/>
  <c r="K84" i="1"/>
  <c r="K78" i="1"/>
  <c r="K72" i="1"/>
  <c r="K66" i="1"/>
  <c r="K60" i="1"/>
  <c r="K54" i="1"/>
  <c r="K48" i="1"/>
  <c r="K42" i="1"/>
  <c r="K36" i="1"/>
  <c r="K30" i="1"/>
  <c r="K24" i="1"/>
  <c r="K18" i="1"/>
  <c r="K12" i="1"/>
  <c r="K6" i="1"/>
  <c r="L98" i="1"/>
  <c r="L92" i="1"/>
  <c r="L86" i="1"/>
  <c r="L80" i="1"/>
  <c r="L74" i="1"/>
  <c r="L68" i="1"/>
  <c r="L62" i="1"/>
  <c r="L56" i="1"/>
  <c r="L50" i="1"/>
  <c r="L44" i="1"/>
  <c r="L38" i="1"/>
  <c r="L32" i="1"/>
  <c r="L26" i="1"/>
  <c r="L17" i="1"/>
  <c r="L5" i="1"/>
  <c r="M91" i="1"/>
  <c r="M79" i="1"/>
  <c r="M67" i="1"/>
  <c r="M55" i="1"/>
  <c r="M43" i="1"/>
  <c r="M25" i="1"/>
  <c r="M7" i="1"/>
  <c r="N87" i="1"/>
  <c r="N69" i="1"/>
  <c r="N51" i="1"/>
  <c r="N33" i="1"/>
  <c r="N15" i="1"/>
  <c r="Q78" i="1"/>
  <c r="Q42" i="1"/>
  <c r="Q6" i="1"/>
  <c r="R68" i="1"/>
  <c r="R32" i="1"/>
  <c r="S94" i="1"/>
  <c r="S58" i="1"/>
  <c r="S22" i="1"/>
  <c r="J98" i="1"/>
  <c r="J92" i="1"/>
  <c r="J86" i="1"/>
  <c r="J80" i="1"/>
  <c r="J74" i="1"/>
  <c r="J68" i="1"/>
  <c r="J62" i="1"/>
  <c r="J56" i="1"/>
  <c r="J50" i="1"/>
  <c r="J44" i="1"/>
  <c r="J38" i="1"/>
  <c r="J32" i="1"/>
  <c r="J26" i="1"/>
  <c r="J20" i="1"/>
  <c r="J14" i="1"/>
  <c r="J8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K3" i="1"/>
  <c r="K95" i="1"/>
  <c r="K89" i="1"/>
  <c r="K83" i="1"/>
  <c r="K77" i="1"/>
  <c r="K71" i="1"/>
  <c r="K65" i="1"/>
  <c r="K59" i="1"/>
  <c r="K53" i="1"/>
  <c r="K47" i="1"/>
  <c r="K41" i="1"/>
  <c r="K35" i="1"/>
  <c r="K29" i="1"/>
  <c r="K23" i="1"/>
  <c r="K17" i="1"/>
  <c r="K11" i="1"/>
  <c r="K5" i="1"/>
  <c r="L97" i="1"/>
  <c r="L91" i="1"/>
  <c r="L85" i="1"/>
  <c r="L79" i="1"/>
  <c r="L73" i="1"/>
  <c r="L67" i="1"/>
  <c r="L61" i="1"/>
  <c r="L55" i="1"/>
  <c r="L49" i="1"/>
  <c r="L43" i="1"/>
  <c r="L37" i="1"/>
  <c r="L31" i="1"/>
  <c r="L25" i="1"/>
  <c r="L15" i="1"/>
  <c r="M3" i="1"/>
  <c r="M89" i="1"/>
  <c r="M77" i="1"/>
  <c r="M65" i="1"/>
  <c r="M53" i="1"/>
  <c r="M38" i="1"/>
  <c r="M20" i="1"/>
  <c r="N100" i="1"/>
  <c r="N82" i="1"/>
  <c r="N64" i="1"/>
  <c r="N46" i="1"/>
  <c r="N28" i="1"/>
  <c r="N10" i="1"/>
  <c r="Q72" i="1"/>
  <c r="Q36" i="1"/>
  <c r="R98" i="1"/>
  <c r="R62" i="1"/>
  <c r="R26" i="1"/>
  <c r="S88" i="1"/>
  <c r="S52" i="1"/>
  <c r="S5" i="1"/>
  <c r="S11" i="1"/>
  <c r="S17" i="1"/>
  <c r="S23" i="1"/>
  <c r="S29" i="1"/>
  <c r="S35" i="1"/>
  <c r="S41" i="1"/>
  <c r="S47" i="1"/>
  <c r="S53" i="1"/>
  <c r="S59" i="1"/>
  <c r="S65" i="1"/>
  <c r="S71" i="1"/>
  <c r="S77" i="1"/>
  <c r="S83" i="1"/>
  <c r="S89" i="1"/>
  <c r="S95" i="1"/>
  <c r="S3" i="1"/>
  <c r="S6" i="1"/>
  <c r="S12" i="1"/>
  <c r="S18" i="1"/>
  <c r="S24" i="1"/>
  <c r="S30" i="1"/>
  <c r="S36" i="1"/>
  <c r="S42" i="1"/>
  <c r="S48" i="1"/>
  <c r="S54" i="1"/>
  <c r="S60" i="1"/>
  <c r="S66" i="1"/>
  <c r="S72" i="1"/>
  <c r="S78" i="1"/>
  <c r="S84" i="1"/>
  <c r="S90" i="1"/>
  <c r="S96" i="1"/>
  <c r="S7" i="1"/>
  <c r="S13" i="1"/>
  <c r="S19" i="1"/>
  <c r="S25" i="1"/>
  <c r="S31" i="1"/>
  <c r="S37" i="1"/>
  <c r="S43" i="1"/>
  <c r="S49" i="1"/>
  <c r="S55" i="1"/>
  <c r="S61" i="1"/>
  <c r="S67" i="1"/>
  <c r="S73" i="1"/>
  <c r="S79" i="1"/>
  <c r="S85" i="1"/>
  <c r="S91" i="1"/>
  <c r="S97" i="1"/>
  <c r="S8" i="1"/>
  <c r="S14" i="1"/>
  <c r="S20" i="1"/>
  <c r="S26" i="1"/>
  <c r="S32" i="1"/>
  <c r="S38" i="1"/>
  <c r="S44" i="1"/>
  <c r="S50" i="1"/>
  <c r="S56" i="1"/>
  <c r="S62" i="1"/>
  <c r="S68" i="1"/>
  <c r="S74" i="1"/>
  <c r="S80" i="1"/>
  <c r="S86" i="1"/>
  <c r="S92" i="1"/>
  <c r="S98" i="1"/>
  <c r="S9" i="1"/>
  <c r="S15" i="1"/>
  <c r="S21" i="1"/>
  <c r="S27" i="1"/>
  <c r="S33" i="1"/>
  <c r="S39" i="1"/>
  <c r="S45" i="1"/>
  <c r="S51" i="1"/>
  <c r="S57" i="1"/>
  <c r="S63" i="1"/>
  <c r="S69" i="1"/>
  <c r="S75" i="1"/>
  <c r="S81" i="1"/>
  <c r="S87" i="1"/>
  <c r="S93" i="1"/>
  <c r="S99" i="1"/>
  <c r="J97" i="1"/>
  <c r="J91" i="1"/>
  <c r="J85" i="1"/>
  <c r="J79" i="1"/>
  <c r="J73" i="1"/>
  <c r="J67" i="1"/>
  <c r="J61" i="1"/>
  <c r="J55" i="1"/>
  <c r="J49" i="1"/>
  <c r="J43" i="1"/>
  <c r="J37" i="1"/>
  <c r="J31" i="1"/>
  <c r="J25" i="1"/>
  <c r="J19" i="1"/>
  <c r="J13" i="1"/>
  <c r="J7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K100" i="1"/>
  <c r="K94" i="1"/>
  <c r="K88" i="1"/>
  <c r="K82" i="1"/>
  <c r="K76" i="1"/>
  <c r="K70" i="1"/>
  <c r="K64" i="1"/>
  <c r="K58" i="1"/>
  <c r="K52" i="1"/>
  <c r="K46" i="1"/>
  <c r="K40" i="1"/>
  <c r="K34" i="1"/>
  <c r="K28" i="1"/>
  <c r="K22" i="1"/>
  <c r="K16" i="1"/>
  <c r="K10" i="1"/>
  <c r="K4" i="1"/>
  <c r="L96" i="1"/>
  <c r="L90" i="1"/>
  <c r="L84" i="1"/>
  <c r="L78" i="1"/>
  <c r="L72" i="1"/>
  <c r="L66" i="1"/>
  <c r="L60" i="1"/>
  <c r="L54" i="1"/>
  <c r="L48" i="1"/>
  <c r="L42" i="1"/>
  <c r="L36" i="1"/>
  <c r="L30" i="1"/>
  <c r="L24" i="1"/>
  <c r="L12" i="1"/>
  <c r="M98" i="1"/>
  <c r="M86" i="1"/>
  <c r="M74" i="1"/>
  <c r="M62" i="1"/>
  <c r="M50" i="1"/>
  <c r="M37" i="1"/>
  <c r="M19" i="1"/>
  <c r="N99" i="1"/>
  <c r="N81" i="1"/>
  <c r="N63" i="1"/>
  <c r="N45" i="1"/>
  <c r="N27" i="1"/>
  <c r="N4" i="1"/>
  <c r="Q66" i="1"/>
  <c r="Q30" i="1"/>
  <c r="R92" i="1"/>
  <c r="R56" i="1"/>
  <c r="R20" i="1"/>
  <c r="S82" i="1"/>
  <c r="S46" i="1"/>
  <c r="S10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O3" i="1"/>
  <c r="AN3" i="1"/>
  <c r="AA4" i="1" l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3" i="1"/>
  <c r="AG3" i="1"/>
  <c r="AF3" i="1"/>
  <c r="AE3" i="1"/>
  <c r="AD3" i="1"/>
  <c r="AC3" i="1"/>
  <c r="AB3" i="1"/>
  <c r="AA3" i="1"/>
  <c r="AE1" i="1"/>
  <c r="AF1" i="1"/>
  <c r="AG1" i="1"/>
  <c r="AH1" i="1"/>
  <c r="AE2" i="1"/>
  <c r="AF2" i="1"/>
  <c r="AG2" i="1"/>
  <c r="AH2" i="1"/>
  <c r="AD2" i="1"/>
  <c r="AB1" i="1"/>
  <c r="AC1" i="1"/>
  <c r="AD1" i="1"/>
  <c r="AA1" i="1"/>
  <c r="AO2" i="1" l="1"/>
  <c r="AN2" i="1"/>
  <c r="AJ1" i="1"/>
  <c r="AK1" i="1"/>
  <c r="AL1" i="1"/>
  <c r="AM1" i="1"/>
  <c r="AN1" i="1"/>
  <c r="AO1" i="1"/>
  <c r="AI1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M3" i="1"/>
  <c r="AL3" i="1"/>
  <c r="AK3" i="1"/>
  <c r="AJ3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5" i="1"/>
  <c r="AI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Y6" i="1"/>
  <c r="Z4" i="1"/>
  <c r="Z5" i="1"/>
  <c r="Z6" i="1"/>
  <c r="Z3" i="1"/>
  <c r="Y4" i="1"/>
  <c r="Y5" i="1"/>
  <c r="Y3" i="1"/>
  <c r="X3" i="1"/>
  <c r="W4" i="1"/>
  <c r="W5" i="1"/>
  <c r="W3" i="1"/>
  <c r="V3" i="1"/>
  <c r="U3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3" i="1"/>
  <c r="T4" i="1"/>
  <c r="V1" i="1" l="1"/>
  <c r="W1" i="1"/>
  <c r="X1" i="1"/>
  <c r="Y1" i="1"/>
  <c r="Z1" i="1"/>
  <c r="V2" i="1"/>
  <c r="W2" i="1"/>
  <c r="X2" i="1"/>
  <c r="Y2" i="1"/>
  <c r="Z2" i="1"/>
  <c r="U1" i="1"/>
  <c r="U2" i="1"/>
  <c r="T2" i="1"/>
  <c r="T1" i="1"/>
  <c r="O26" i="1"/>
  <c r="H100" i="1"/>
  <c r="H34" i="1"/>
  <c r="O32" i="1"/>
  <c r="O79" i="1"/>
  <c r="P84" i="1"/>
  <c r="H75" i="1"/>
  <c r="H50" i="1"/>
  <c r="H99" i="1"/>
  <c r="P83" i="1"/>
  <c r="P38" i="1"/>
  <c r="O28" i="1"/>
  <c r="O29" i="1"/>
  <c r="H29" i="1"/>
  <c r="P53" i="1"/>
  <c r="O77" i="1"/>
  <c r="P54" i="1"/>
  <c r="H22" i="1"/>
  <c r="P82" i="1"/>
  <c r="P17" i="1"/>
  <c r="H82" i="1"/>
  <c r="O21" i="1"/>
  <c r="O91" i="1"/>
  <c r="H36" i="1"/>
  <c r="O19" i="1"/>
  <c r="H30" i="1"/>
  <c r="P60" i="1"/>
  <c r="P71" i="1"/>
  <c r="H90" i="1"/>
  <c r="H47" i="1"/>
  <c r="H78" i="1"/>
  <c r="H27" i="1"/>
  <c r="H83" i="1"/>
  <c r="H84" i="1"/>
  <c r="O84" i="1"/>
  <c r="O93" i="1"/>
  <c r="O39" i="1"/>
  <c r="P85" i="1"/>
  <c r="P35" i="1"/>
  <c r="O40" i="1"/>
  <c r="O31" i="1"/>
  <c r="O70" i="1"/>
  <c r="P72" i="1"/>
  <c r="O82" i="1"/>
  <c r="H66" i="1"/>
  <c r="H96" i="1"/>
  <c r="P51" i="1"/>
  <c r="H21" i="1"/>
  <c r="P46" i="1"/>
  <c r="H77" i="1"/>
  <c r="P37" i="1"/>
  <c r="H17" i="1"/>
  <c r="H45" i="1"/>
  <c r="P24" i="1"/>
  <c r="P15" i="1"/>
  <c r="O87" i="1"/>
  <c r="P44" i="1"/>
  <c r="P52" i="1"/>
  <c r="O100" i="1"/>
  <c r="P63" i="1"/>
  <c r="O53" i="1"/>
  <c r="P20" i="1"/>
  <c r="O47" i="1"/>
  <c r="O27" i="1"/>
  <c r="H79" i="1"/>
  <c r="H6" i="1"/>
  <c r="H7" i="1"/>
  <c r="H11" i="1"/>
  <c r="O12" i="1"/>
  <c r="H12" i="1"/>
  <c r="O13" i="1"/>
  <c r="H10" i="1"/>
  <c r="P4" i="1"/>
  <c r="H3" i="1"/>
  <c r="H93" i="1"/>
  <c r="O96" i="1"/>
  <c r="O76" i="1"/>
  <c r="O81" i="1"/>
  <c r="P66" i="1"/>
  <c r="P76" i="1"/>
  <c r="H61" i="1"/>
  <c r="O49" i="1"/>
  <c r="P93" i="1"/>
  <c r="O23" i="1"/>
  <c r="O30" i="1"/>
  <c r="O85" i="1"/>
  <c r="P91" i="1"/>
  <c r="O22" i="1"/>
  <c r="P69" i="1"/>
  <c r="O62" i="1"/>
  <c r="O95" i="1"/>
  <c r="P40" i="1"/>
  <c r="O67" i="1"/>
  <c r="H40" i="1"/>
  <c r="H65" i="1"/>
  <c r="O60" i="1"/>
  <c r="H59" i="1"/>
  <c r="P19" i="1"/>
  <c r="P21" i="1"/>
  <c r="H88" i="1"/>
  <c r="P94" i="1"/>
  <c r="P50" i="1"/>
  <c r="H71" i="1"/>
  <c r="P48" i="1"/>
  <c r="H76" i="1"/>
  <c r="P74" i="1"/>
  <c r="H55" i="1"/>
  <c r="O48" i="1"/>
  <c r="H95" i="1"/>
  <c r="O57" i="1"/>
  <c r="O20" i="1"/>
  <c r="H62" i="1"/>
  <c r="P27" i="1"/>
  <c r="H98" i="1"/>
  <c r="P25" i="1"/>
  <c r="O56" i="1"/>
  <c r="P70" i="1"/>
  <c r="H81" i="1"/>
  <c r="P22" i="1"/>
  <c r="O50" i="1"/>
  <c r="H43" i="1"/>
  <c r="P65" i="1"/>
  <c r="H24" i="1"/>
  <c r="O25" i="1"/>
  <c r="P29" i="1"/>
  <c r="P87" i="1"/>
  <c r="P90" i="1"/>
  <c r="H44" i="1"/>
  <c r="O55" i="1"/>
  <c r="P43" i="1"/>
  <c r="P80" i="1"/>
  <c r="H86" i="1"/>
  <c r="P18" i="1"/>
  <c r="H92" i="1"/>
  <c r="P89" i="1"/>
  <c r="P28" i="1"/>
  <c r="H63" i="1"/>
  <c r="H87" i="1"/>
  <c r="O17" i="1"/>
  <c r="H58" i="1"/>
  <c r="H51" i="1"/>
  <c r="P62" i="1"/>
  <c r="O74" i="1"/>
  <c r="O68" i="1"/>
  <c r="H57" i="1"/>
  <c r="H25" i="1"/>
  <c r="H72" i="1"/>
  <c r="P78" i="1"/>
  <c r="O35" i="1"/>
  <c r="H94" i="1"/>
  <c r="P100" i="1"/>
  <c r="P99" i="1"/>
  <c r="P42" i="1"/>
  <c r="P23" i="1"/>
  <c r="H26" i="1"/>
  <c r="P33" i="1"/>
  <c r="H69" i="1"/>
  <c r="P75" i="1"/>
  <c r="H35" i="1"/>
  <c r="H67" i="1"/>
  <c r="H64" i="1"/>
  <c r="O99" i="1"/>
  <c r="P39" i="1"/>
  <c r="P64" i="1"/>
  <c r="P86" i="1"/>
  <c r="P34" i="1"/>
  <c r="O92" i="1"/>
  <c r="H97" i="1"/>
  <c r="O45" i="1"/>
  <c r="O78" i="1"/>
  <c r="H60" i="1"/>
  <c r="O52" i="1"/>
  <c r="H85" i="1"/>
  <c r="O38" i="1"/>
  <c r="O94" i="1"/>
  <c r="O61" i="1"/>
  <c r="P45" i="1"/>
  <c r="O83" i="1"/>
  <c r="H46" i="1"/>
  <c r="H37" i="1"/>
  <c r="O42" i="1"/>
  <c r="O71" i="1"/>
  <c r="P41" i="1"/>
  <c r="P47" i="1"/>
  <c r="O51" i="1"/>
  <c r="O90" i="1"/>
  <c r="P92" i="1"/>
  <c r="H68" i="1"/>
  <c r="P88" i="1"/>
  <c r="H15" i="1"/>
  <c r="O15" i="1"/>
  <c r="O75" i="1"/>
  <c r="P77" i="1"/>
  <c r="P16" i="1"/>
  <c r="O97" i="1"/>
  <c r="P79" i="1"/>
  <c r="P12" i="1"/>
  <c r="H13" i="1"/>
  <c r="P11" i="1"/>
  <c r="P6" i="1"/>
  <c r="O10" i="1"/>
  <c r="O7" i="1"/>
  <c r="H4" i="1"/>
  <c r="O4" i="1"/>
  <c r="P3" i="1"/>
  <c r="O43" i="1"/>
  <c r="H70" i="1"/>
  <c r="H33" i="1"/>
  <c r="H23" i="1"/>
  <c r="P73" i="1"/>
  <c r="H42" i="1"/>
  <c r="H38" i="1"/>
  <c r="O63" i="1"/>
  <c r="P58" i="1"/>
  <c r="P36" i="1"/>
  <c r="O34" i="1"/>
  <c r="O89" i="1"/>
  <c r="O33" i="1"/>
  <c r="H74" i="1"/>
  <c r="O44" i="1"/>
  <c r="O59" i="1"/>
  <c r="P59" i="1"/>
  <c r="P98" i="1"/>
  <c r="P32" i="1"/>
  <c r="P57" i="1"/>
  <c r="O54" i="1"/>
  <c r="P81" i="1"/>
  <c r="O46" i="1"/>
  <c r="P96" i="1"/>
  <c r="O41" i="1"/>
  <c r="P68" i="1"/>
  <c r="P55" i="1"/>
  <c r="O36" i="1"/>
  <c r="P49" i="1"/>
  <c r="H89" i="1"/>
  <c r="P67" i="1"/>
  <c r="H20" i="1"/>
  <c r="H31" i="1"/>
  <c r="H39" i="1"/>
  <c r="O65" i="1"/>
  <c r="O86" i="1"/>
  <c r="P10" i="1"/>
  <c r="O14" i="1"/>
  <c r="P9" i="1"/>
  <c r="P7" i="1"/>
  <c r="O3" i="1"/>
  <c r="H52" i="1"/>
  <c r="O98" i="1"/>
  <c r="P30" i="1"/>
  <c r="O80" i="1"/>
  <c r="O16" i="1"/>
  <c r="P95" i="1"/>
  <c r="O24" i="1"/>
  <c r="H73" i="1"/>
  <c r="O58" i="1"/>
  <c r="O72" i="1"/>
  <c r="H19" i="1"/>
  <c r="H18" i="1"/>
  <c r="H9" i="1"/>
  <c r="P13" i="1"/>
  <c r="P8" i="1"/>
  <c r="H5" i="1"/>
  <c r="H32" i="1"/>
  <c r="O88" i="1"/>
  <c r="P31" i="1"/>
  <c r="H28" i="1"/>
  <c r="H53" i="1"/>
  <c r="H48" i="1"/>
  <c r="H49" i="1"/>
  <c r="P56" i="1"/>
  <c r="H80" i="1"/>
  <c r="H41" i="1"/>
  <c r="H56" i="1"/>
  <c r="P97" i="1"/>
  <c r="O6" i="1"/>
  <c r="O8" i="1"/>
  <c r="O9" i="1"/>
  <c r="P5" i="1"/>
  <c r="P61" i="1"/>
  <c r="H91" i="1"/>
  <c r="O69" i="1"/>
  <c r="O37" i="1"/>
  <c r="H16" i="1"/>
  <c r="O66" i="1"/>
  <c r="O18" i="1"/>
  <c r="P26" i="1"/>
  <c r="H54" i="1"/>
  <c r="O73" i="1"/>
  <c r="O64" i="1"/>
  <c r="H14" i="1"/>
  <c r="P14" i="1"/>
  <c r="H8" i="1"/>
  <c r="O11" i="1"/>
  <c r="O5" i="1"/>
</calcChain>
</file>

<file path=xl/sharedStrings.xml><?xml version="1.0" encoding="utf-8"?>
<sst xmlns="http://schemas.openxmlformats.org/spreadsheetml/2006/main" count="126" uniqueCount="112">
  <si>
    <t>Вид работ 1</t>
  </si>
  <si>
    <t>Type of work 1</t>
  </si>
  <si>
    <t>Services for the development, adaptation and modification of computer programs and databases</t>
  </si>
  <si>
    <t>Услуги по разработке, адаптации и модификации компьютерных программ и БД</t>
  </si>
  <si>
    <t>Beneficiary Name</t>
  </si>
  <si>
    <t>Beneficiary Address</t>
  </si>
  <si>
    <t>Beneficiary Bank</t>
  </si>
  <si>
    <t xml:space="preserve">Beneficiary Bank Address </t>
  </si>
  <si>
    <t>Beneficiary Account in Bank</t>
  </si>
  <si>
    <t>Beneficiary Bank SWIFT</t>
  </si>
  <si>
    <t xml:space="preserve">Account with Intermediary Bank </t>
  </si>
  <si>
    <t xml:space="preserve">Intermediary Bank </t>
  </si>
  <si>
    <t>Operational management and usage of computer systems</t>
  </si>
  <si>
    <t>Registered in</t>
  </si>
  <si>
    <t>USA</t>
  </si>
  <si>
    <t>США</t>
  </si>
  <si>
    <t xml:space="preserve">Chief executive </t>
  </si>
  <si>
    <t xml:space="preserve">
Number</t>
  </si>
  <si>
    <t>England</t>
  </si>
  <si>
    <t>Англии</t>
  </si>
  <si>
    <t>unp_num</t>
  </si>
  <si>
    <t>ru_ip_name</t>
  </si>
  <si>
    <t>Name</t>
  </si>
  <si>
    <t>en_ip_name</t>
  </si>
  <si>
    <t>agreement_num</t>
  </si>
  <si>
    <t>agreement_date</t>
  </si>
  <si>
    <t>ru_works_1</t>
  </si>
  <si>
    <t>en_works_1</t>
  </si>
  <si>
    <t>unp_date</t>
  </si>
  <si>
    <t>contributor_name</t>
  </si>
  <si>
    <t>en_contributor_reg_country</t>
  </si>
  <si>
    <t>ru_contributor_reg_country</t>
  </si>
  <si>
    <t>en_contributor_reg_id</t>
  </si>
  <si>
    <t>ru_contributor_reg_id</t>
  </si>
  <si>
    <t>pay_sum</t>
  </si>
  <si>
    <t>ip_rate</t>
  </si>
  <si>
    <t>hours</t>
  </si>
  <si>
    <t>act_num</t>
  </si>
  <si>
    <t>en_act_date</t>
  </si>
  <si>
    <t>ru_act_date</t>
  </si>
  <si>
    <t>en_from_date</t>
  </si>
  <si>
    <t>en_to_date</t>
  </si>
  <si>
    <t>ru_from_date</t>
  </si>
  <si>
    <t>ru_to_date</t>
  </si>
  <si>
    <t>en_pay_sum</t>
  </si>
  <si>
    <t>ru_pay_sum</t>
  </si>
  <si>
    <t>ru_currency</t>
  </si>
  <si>
    <t>en_ip_addr</t>
  </si>
  <si>
    <t>contributor_addr</t>
  </si>
  <si>
    <t>ip_bank</t>
  </si>
  <si>
    <t>ip_bank_addr</t>
  </si>
  <si>
    <t>ip_bank_acc</t>
  </si>
  <si>
    <t>ip_bank_swift</t>
  </si>
  <si>
    <t>ip_int_bank_acc</t>
  </si>
  <si>
    <t>ip_int_bank</t>
  </si>
  <si>
    <t>en_ip_leg_name</t>
  </si>
  <si>
    <t>inv_date</t>
  </si>
  <si>
    <t>Дата Инвойса</t>
  </si>
  <si>
    <t>en_inv_date</t>
  </si>
  <si>
    <t>Дата инвойса(англ.)</t>
  </si>
  <si>
    <t>inv_due_date</t>
  </si>
  <si>
    <t>ru_c_executive</t>
  </si>
  <si>
    <t>en_c_executive</t>
  </si>
  <si>
    <t>Day</t>
  </si>
  <si>
    <t>Month</t>
  </si>
  <si>
    <t>Year</t>
  </si>
  <si>
    <t>Due day</t>
  </si>
  <si>
    <t>Invoice Dates</t>
  </si>
  <si>
    <t>Date</t>
  </si>
  <si>
    <t>Due date</t>
  </si>
  <si>
    <t>Markus LTD</t>
  </si>
  <si>
    <t>Markus LLC</t>
  </si>
  <si>
    <t>Махатма Ганди</t>
  </si>
  <si>
    <t>410 Terry Avenue North Seattle, WA 98109
New Rochelle, NY 10801</t>
  </si>
  <si>
    <t>номер регистрационного сертификата: 39687251940</t>
  </si>
  <si>
    <t>1 Principal Place, Worship Street, London, EC2A 2FA 
Epinal Way,
Loughborough
LE11 3GE
United Kingdom</t>
  </si>
  <si>
    <t>the Registration Certificate Number ID 39687251940</t>
  </si>
  <si>
    <t xml:space="preserve">идентификационный номер в реестре компаний Англии и Уэльса: 7456321 </t>
  </si>
  <si>
    <t xml:space="preserve">the Register of Companies for England and Wales Company ID 7456321 </t>
  </si>
  <si>
    <t>Антон Сергеевич Городецкий</t>
  </si>
  <si>
    <t>Anton Sergeevich Gorodetskiy</t>
  </si>
  <si>
    <t>Оперативное управление компьютерными системами</t>
  </si>
  <si>
    <t>IP Anton Gorodetskiy</t>
  </si>
  <si>
    <t>Сергей Сергеевич Бодров</t>
  </si>
  <si>
    <t>IP Sergey Bodrov</t>
  </si>
  <si>
    <t>ALFBRU7I</t>
  </si>
  <si>
    <t>Closed Joint-Stock Company «Alfb-Bank», Russia</t>
  </si>
  <si>
    <t>74 app. 13, 8 March street, Moskow, Russia</t>
  </si>
  <si>
    <t>Name in russian</t>
  </si>
  <si>
    <t>UNP</t>
  </si>
  <si>
    <t>Certificate date</t>
  </si>
  <si>
    <t>Contract number</t>
  </si>
  <si>
    <t>8-a, Partizansky  Av., 996622 Moscow Russian Federation</t>
  </si>
  <si>
    <t>12 app. 6, Verzemnika street, Moscow, Russia</t>
  </si>
  <si>
    <t>Rate</t>
  </si>
  <si>
    <t>Doc number modifier</t>
  </si>
  <si>
    <t xml:space="preserve">DTV Bank (Deutschland) AG, Rüsterstraße 7-19, 62627 Frankfurt am Main, Germany, SWIFT: DSDFVXOO </t>
  </si>
  <si>
    <t>DEUTSCHI BANK TRUST COMPANY AMERICAS, NEW YORK, USA
SWIFT: ASDEM55</t>
  </si>
  <si>
    <t>Registered in(rus)</t>
  </si>
  <si>
    <t>Legal name</t>
  </si>
  <si>
    <t>Address</t>
  </si>
  <si>
    <t>Number(rus)</t>
  </si>
  <si>
    <t>Chief executive(ru)</t>
  </si>
  <si>
    <t>Name(rus)</t>
  </si>
  <si>
    <t>Payout</t>
  </si>
  <si>
    <t>Hours</t>
  </si>
  <si>
    <t>Act number</t>
  </si>
  <si>
    <t>Country(rus)</t>
  </si>
  <si>
    <t>Contract date</t>
  </si>
  <si>
    <t>Mahatma Gandhi</t>
  </si>
  <si>
    <t>RU55ALFB96325874135489620000</t>
  </si>
  <si>
    <t>Sergey Sergeevich Bodrov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</si>
</sst>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[$-FC19]\«dd\»\ mmmm\ yyyy\ \г\.;@"/>
    <numFmt numFmtId="166" formatCode="[$-409]\«dd\»\ mmmm\ yyyy;@"/>
    <numFmt numFmtId="167" formatCode="dd\.mm\.yyyy"/>
    <numFmt numFmtId="168" formatCode="[$-409]dd\ mmmm\ 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1"/>
      <scheme val="minor"/>
    </font>
    <font>
      <sz val="11"/>
      <color rgb="FF9C0006"/>
      <name val="Calibri"/>
      <family val="2"/>
      <charset val="1"/>
      <scheme val="minor"/>
    </font>
    <font>
      <sz val="11"/>
      <color rgb="FF9C6500"/>
      <name val="Calibri"/>
      <family val="2"/>
      <charset val="1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0" borderId="0" xfId="0" applyBorder="1"/>
    <xf numFmtId="0" fontId="1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2" fontId="0" fillId="0" borderId="0" xfId="0" applyNumberFormat="1" applyBorder="1"/>
    <xf numFmtId="2" fontId="1" fillId="2" borderId="0" xfId="0" applyNumberFormat="1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Fill="1" applyBorder="1"/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/>
    <xf numFmtId="166" fontId="0" fillId="0" borderId="0" xfId="0" applyNumberFormat="1" applyBorder="1"/>
    <xf numFmtId="0" fontId="0" fillId="2" borderId="0" xfId="0" applyFill="1" applyBorder="1"/>
    <xf numFmtId="165" fontId="0" fillId="0" borderId="0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/>
    <xf numFmtId="167" fontId="0" fillId="0" borderId="0" xfId="0" applyNumberFormat="1" applyBorder="1"/>
    <xf numFmtId="168" fontId="0" fillId="3" borderId="0" xfId="0" applyNumberFormat="1" applyFill="1" applyBorder="1"/>
    <xf numFmtId="1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/>
    <xf numFmtId="0" fontId="1" fillId="2" borderId="0" xfId="0" applyFont="1" applyFill="1" applyBorder="1"/>
    <xf numFmtId="0" fontId="4" fillId="6" borderId="0" xfId="3" applyBorder="1" applyAlignment="1">
      <alignment horizontal="right" vertical="center" wrapText="1"/>
    </xf>
    <xf numFmtId="0" fontId="4" fillId="6" borderId="0" xfId="3" applyBorder="1"/>
    <xf numFmtId="0" fontId="2" fillId="4" borderId="0" xfId="1" applyBorder="1"/>
    <xf numFmtId="14" fontId="3" fillId="5" borderId="0" xfId="2" applyNumberFormat="1" applyBorder="1"/>
    <xf numFmtId="0" fontId="0" fillId="2" borderId="1" xfId="0" applyFill="1" applyBorder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00"/>
  <sheetViews>
    <sheetView tabSelected="1" workbookViewId="0">
      <selection activeCell="A8" sqref="A8"/>
    </sheetView>
  </sheetViews>
  <sheetFormatPr defaultRowHeight="15" x14ac:dyDescent="0.25"/>
  <cols>
    <col min="1" max="1" width="17.85546875" style="7" customWidth="1"/>
    <col min="2" max="2" width="34.5703125" style="7" bestFit="1" customWidth="1"/>
    <col min="3" max="3" width="29.42578125" style="7" customWidth="1"/>
    <col min="4" max="4" width="10" style="7" bestFit="1" customWidth="1"/>
    <col min="5" max="5" width="26.5703125" style="13" bestFit="1" customWidth="1"/>
    <col min="6" max="6" width="30.42578125" style="7" customWidth="1"/>
    <col min="7" max="7" width="28.28515625" style="7" customWidth="1"/>
    <col min="8" max="8" width="49.85546875" style="7" customWidth="1"/>
    <col min="9" max="9" width="23.7109375" style="7" customWidth="1"/>
    <col min="10" max="10" width="23.42578125" style="7" customWidth="1"/>
    <col min="11" max="11" width="19.85546875" style="7" bestFit="1" customWidth="1"/>
    <col min="12" max="12" width="24.140625" style="7" bestFit="1" customWidth="1"/>
    <col min="13" max="13" width="26" style="7" bestFit="1" customWidth="1"/>
    <col min="14" max="14" width="22" style="7" bestFit="1" customWidth="1"/>
    <col min="15" max="15" width="46.28515625" style="7" customWidth="1"/>
    <col min="16" max="16" width="40.42578125" style="7" customWidth="1"/>
    <col min="17" max="19" width="24.140625" style="7" customWidth="1"/>
    <col min="20" max="20" width="33" style="7" customWidth="1"/>
    <col min="21" max="21" width="32.85546875" style="7" customWidth="1"/>
    <col min="22" max="22" width="20.5703125" style="7" customWidth="1"/>
    <col min="23" max="23" width="25.7109375" style="7" customWidth="1"/>
    <col min="24" max="24" width="23.28515625" style="7" customWidth="1"/>
    <col min="25" max="25" width="24" style="7" customWidth="1"/>
    <col min="26" max="26" width="25.5703125" style="7" customWidth="1"/>
    <col min="27" max="34" width="48.5703125" style="7" customWidth="1"/>
    <col min="35" max="35" width="29.7109375" style="7" customWidth="1"/>
    <col min="36" max="36" width="23.85546875" style="7" customWidth="1"/>
    <col min="37" max="37" width="54.85546875" style="7" customWidth="1"/>
    <col min="38" max="38" width="32.140625" style="7" customWidth="1"/>
    <col min="39" max="16384" width="9.140625" style="7"/>
  </cols>
  <sheetData>
    <row r="1" spans="1:41" x14ac:dyDescent="0.25">
      <c r="B1" s="7" t="s">
        <v>21</v>
      </c>
      <c r="C1" s="7" t="s">
        <v>34</v>
      </c>
      <c r="D1" s="7" t="s">
        <v>35</v>
      </c>
      <c r="E1" s="13" t="s">
        <v>36</v>
      </c>
      <c r="F1" s="16" t="s">
        <v>37</v>
      </c>
      <c r="G1" s="16" t="s">
        <v>31</v>
      </c>
      <c r="H1" s="16" t="s">
        <v>44</v>
      </c>
      <c r="I1" s="7" t="s">
        <v>38</v>
      </c>
      <c r="J1" s="7" t="s">
        <v>39</v>
      </c>
      <c r="K1" s="7" t="s">
        <v>40</v>
      </c>
      <c r="L1" s="16" t="s">
        <v>41</v>
      </c>
      <c r="M1" s="16" t="s">
        <v>42</v>
      </c>
      <c r="N1" s="16" t="s">
        <v>43</v>
      </c>
      <c r="O1" s="16" t="s">
        <v>45</v>
      </c>
      <c r="P1" s="16" t="s">
        <v>46</v>
      </c>
      <c r="Q1" s="16" t="s">
        <v>56</v>
      </c>
      <c r="R1" s="16" t="s">
        <v>58</v>
      </c>
      <c r="S1" s="16" t="s">
        <v>60</v>
      </c>
      <c r="T1" s="7" t="str">
        <f>LOOKUP($B3,emp_info!$C$1:$C$1,emp_info!D1:D1)</f>
        <v>en_ip_name</v>
      </c>
      <c r="U1" s="7" t="str">
        <f>LOOKUP($B3,emp_info!$C$1:$C$1,emp_info!E1:E1)</f>
        <v>unp_num</v>
      </c>
      <c r="V1" s="7" t="str">
        <f>LOOKUP($B3,emp_info!$C$1:$C$1,emp_info!F1:F1)</f>
        <v>unp_date</v>
      </c>
      <c r="W1" s="7" t="str">
        <f>LOOKUP($B3,emp_info!$C$1:$C$1,emp_info!G1:G1)</f>
        <v>agreement_num</v>
      </c>
      <c r="X1" s="7" t="str">
        <f>LOOKUP($B3,emp_info!$C$1:$C$1,emp_info!H1:H1)</f>
        <v>agreement_date</v>
      </c>
      <c r="Y1" s="7" t="str">
        <f>LOOKUP($B3,emp_info!$C$1:$C$1,emp_info!I1:I1)</f>
        <v>ru_works_1</v>
      </c>
      <c r="Z1" s="7" t="str">
        <f>LOOKUP($B3,emp_info!$C$1:$C$1,emp_info!J1:J1)</f>
        <v>en_works_1</v>
      </c>
      <c r="AA1" s="7" t="str">
        <f>emp_info!M1</f>
        <v>en_ip_leg_name</v>
      </c>
      <c r="AB1" s="7" t="str">
        <f>emp_info!N1</f>
        <v>en_ip_addr</v>
      </c>
      <c r="AC1" s="7" t="str">
        <f>emp_info!O1</f>
        <v>ip_bank</v>
      </c>
      <c r="AD1" s="7" t="str">
        <f>emp_info!P1</f>
        <v>ip_bank_addr</v>
      </c>
      <c r="AE1" s="7" t="str">
        <f>emp_info!Q1</f>
        <v>ip_bank_acc</v>
      </c>
      <c r="AF1" s="7" t="str">
        <f>emp_info!R1</f>
        <v>ip_bank_swift</v>
      </c>
      <c r="AG1" s="7" t="str">
        <f>emp_info!S1</f>
        <v>ip_int_bank_acc</v>
      </c>
      <c r="AH1" s="7" t="str">
        <f>emp_info!T1</f>
        <v>ip_int_bank</v>
      </c>
      <c r="AI1" s="7" t="str">
        <f>contragent!C1</f>
        <v>en_contributor_reg_country</v>
      </c>
      <c r="AJ1" s="7" t="str">
        <f>contragent!D1</f>
        <v>contributor_name</v>
      </c>
      <c r="AK1" s="7" t="str">
        <f>contragent!E1</f>
        <v>contributor_addr</v>
      </c>
      <c r="AL1" s="7" t="str">
        <f>contragent!F1</f>
        <v>ru_contributor_reg_id</v>
      </c>
      <c r="AM1" s="7" t="str">
        <f>contragent!G1</f>
        <v>en_contributor_reg_id</v>
      </c>
      <c r="AN1" s="7" t="str">
        <f>contragent!H1</f>
        <v>ru_c_executive</v>
      </c>
      <c r="AO1" s="7" t="str">
        <f>contragent!I1</f>
        <v>en_c_executive</v>
      </c>
    </row>
    <row r="2" spans="1:41" s="20" customFormat="1" ht="15" customHeight="1" x14ac:dyDescent="0.25">
      <c r="A2" s="29" t="s">
        <v>67</v>
      </c>
      <c r="B2" s="8" t="s">
        <v>103</v>
      </c>
      <c r="C2" s="12" t="s">
        <v>104</v>
      </c>
      <c r="D2" s="8" t="s">
        <v>94</v>
      </c>
      <c r="E2" s="14" t="s">
        <v>105</v>
      </c>
      <c r="F2" s="8" t="s">
        <v>106</v>
      </c>
      <c r="G2" s="8" t="s">
        <v>107</v>
      </c>
      <c r="H2" s="8"/>
      <c r="I2" s="8"/>
      <c r="J2" s="8"/>
      <c r="Q2" s="20" t="s">
        <v>57</v>
      </c>
      <c r="R2" s="20" t="s">
        <v>59</v>
      </c>
      <c r="T2" s="20" t="str">
        <f>LOOKUP($B4,emp_info!$C$1:$C$1,emp_info!D2:D2)</f>
        <v>Name</v>
      </c>
      <c r="U2" s="20" t="str">
        <f>LOOKUP($B4,emp_info!$C$1:$C$1,emp_info!E2:E2)</f>
        <v>UNP</v>
      </c>
      <c r="V2" s="20" t="str">
        <f>LOOKUP($B4,emp_info!$C$1:$C$1,emp_info!F2:F2)</f>
        <v>Certificate date</v>
      </c>
      <c r="W2" s="20" t="str">
        <f>LOOKUP($B4,emp_info!$C$1:$C$1,emp_info!G2:G2)</f>
        <v>Contract number</v>
      </c>
      <c r="X2" s="20" t="str">
        <f>LOOKUP($B4,emp_info!$C$1:$C$1,emp_info!H2:H2)</f>
        <v>Contract date</v>
      </c>
      <c r="Y2" s="20" t="str">
        <f>LOOKUP($B4,emp_info!$C$1:$C$1,emp_info!I2:I2)</f>
        <v>Вид работ 1</v>
      </c>
      <c r="Z2" s="20" t="str">
        <f>LOOKUP($B4,emp_info!$C$1:$C$1,emp_info!J2:J2)</f>
        <v>Type of work 1</v>
      </c>
      <c r="AA2" s="20" t="str">
        <f>emp_info!M2</f>
        <v>Beneficiary Name</v>
      </c>
      <c r="AB2" s="20" t="str">
        <f>emp_info!N2</f>
        <v>Beneficiary Address</v>
      </c>
      <c r="AC2" s="20" t="str">
        <f>emp_info!O2</f>
        <v>Beneficiary Bank</v>
      </c>
      <c r="AD2" s="20" t="str">
        <f>emp_info!P2</f>
        <v xml:space="preserve">Beneficiary Bank Address </v>
      </c>
      <c r="AE2" s="20" t="str">
        <f>emp_info!Q2</f>
        <v>Beneficiary Account in Bank</v>
      </c>
      <c r="AF2" s="20" t="str">
        <f>emp_info!R2</f>
        <v>Beneficiary Bank SWIFT</v>
      </c>
      <c r="AG2" s="20" t="str">
        <f>emp_info!S2</f>
        <v xml:space="preserve">Account with Intermediary Bank </v>
      </c>
      <c r="AH2" s="20" t="str">
        <f>emp_info!T2</f>
        <v xml:space="preserve">Intermediary Bank </v>
      </c>
      <c r="AI2" s="20" t="str">
        <f>contragent!C2</f>
        <v>Registered in</v>
      </c>
      <c r="AJ2" s="20" t="str">
        <f>contragent!D2</f>
        <v>Legal name</v>
      </c>
      <c r="AK2" s="20" t="str">
        <f>contragent!E2</f>
        <v>Address</v>
      </c>
      <c r="AL2" s="20" t="str">
        <f>contragent!F2</f>
        <v>Number(rus)</v>
      </c>
      <c r="AN2" s="20" t="str">
        <f>contragent!H2</f>
        <v>Chief executive(ru)</v>
      </c>
      <c r="AO2" s="20" t="str">
        <f>contragent!I2</f>
        <v xml:space="preserve">Chief executive </v>
      </c>
    </row>
    <row r="3" spans="1:41" ht="15" customHeight="1" x14ac:dyDescent="0.25">
      <c r="A3" s="32" t="s">
        <v>63</v>
      </c>
      <c r="B3" s="9" t="s">
        <v>83</v>
      </c>
      <c r="C3" s="11">
        <f>D3*E3</f>
        <v>1716</v>
      </c>
      <c r="D3" s="9">
        <f>IFERROR(VLOOKUP($B3,emp_info!$C$3:$U$100,19,FALSE),0)</f>
        <v>22</v>
      </c>
      <c r="E3" s="15">
        <v>78</v>
      </c>
      <c r="F3" s="9">
        <v>14</v>
      </c>
      <c r="G3" s="10" t="s">
        <v>15</v>
      </c>
      <c r="H3" s="11" t="str">
        <f>NumberstoWords(C3)</f>
        <v>One thousand seven hundred sixteen</v>
      </c>
      <c r="I3" s="17">
        <f>EOMONTH($A$12,-1)</f>
        <v>43404</v>
      </c>
      <c r="J3" s="21">
        <f>EOMONTH($A$12,-1)</f>
        <v>43404</v>
      </c>
      <c r="K3" s="19">
        <f>EOMONTH($A$12,-2)+1</f>
        <v>43374</v>
      </c>
      <c r="L3" s="19">
        <f>EOMONTH($A$12,-1)</f>
        <v>43404</v>
      </c>
      <c r="M3" s="18">
        <f>EOMONTH($A$12,-2)+1</f>
        <v>43374</v>
      </c>
      <c r="N3" s="18">
        <f>EOMONTH($A$12,-1)</f>
        <v>43404</v>
      </c>
      <c r="O3" s="7" t="str">
        <f>СуммаПрописью(C3)</f>
        <v xml:space="preserve">Одна тысяча семьсот шестнадцать </v>
      </c>
      <c r="P3" s="7" t="str">
        <f>Склондолларов(C3)</f>
        <v>Долларов</v>
      </c>
      <c r="Q3" s="25">
        <f>$A$12</f>
        <v>43417</v>
      </c>
      <c r="R3" s="26">
        <f>$A$12</f>
        <v>43417</v>
      </c>
      <c r="S3" s="26">
        <f>$A$14</f>
        <v>43423</v>
      </c>
      <c r="T3" s="7" t="str">
        <f>VLOOKUP($B3,emp_info!$C$3:$U$100,2,FALSE)</f>
        <v>Sergey Sergeevich Bodrov</v>
      </c>
      <c r="U3" s="7">
        <f>VLOOKUP($B3,emp_info!$C$3:$U$100,3,FALSE)</f>
        <v>196796420</v>
      </c>
      <c r="V3" s="25">
        <f>VLOOKUP($B3,emp_info!$C$3:$U$100,4,FALSE)</f>
        <v>43039</v>
      </c>
      <c r="W3" s="7">
        <f>VLOOKUP($B3,emp_info!$C$3:$U$100,5,FALSE)</f>
        <v>25</v>
      </c>
      <c r="X3" s="25">
        <f>VLOOKUP($B3,emp_info!$C$3:$U$100,6,FALSE)</f>
        <v>43050</v>
      </c>
      <c r="Y3" s="7" t="str">
        <f>VLOOKUP($B3,emp_info!$C$3:$U$100,7,FALSE)</f>
        <v>Оперативное управление компьютерными системами</v>
      </c>
      <c r="Z3" s="7" t="str">
        <f>VLOOKUP($B3,emp_info!$C$3:$U$100,8,FALSE)</f>
        <v>Operational management and usage of computer systems</v>
      </c>
      <c r="AA3" s="7" t="str">
        <f>VLOOKUP($B3,emp_info!$C$3:$U$100,11,FALSE)</f>
        <v>IP Sergey Bodrov</v>
      </c>
      <c r="AB3" s="7" t="str">
        <f>VLOOKUP($B3,emp_info!$C$3:$U$100,12,FALSE)</f>
        <v>12 app. 6, Verzemnika street, Moscow, Russia</v>
      </c>
      <c r="AC3" s="7" t="str">
        <f>VLOOKUP($B3,emp_info!$C$3:$U$100,13,FALSE)</f>
        <v>Closed Joint-Stock Company «Alfb-Bank», Russia</v>
      </c>
      <c r="AD3" s="7" t="str">
        <f>VLOOKUP($B3,emp_info!$C$3:$U$100,14,FALSE)</f>
        <v>8-a, Partizansky  Av., 996622 Moscow Russian Federation</v>
      </c>
      <c r="AE3" s="7" t="str">
        <f>VLOOKUP($B3,emp_info!$C$3:$U$100,15,FALSE)</f>
        <v>RU55ALFB96325874135489620000</v>
      </c>
      <c r="AF3" s="7" t="str">
        <f>VLOOKUP($B3,emp_info!$C$3:$U$100,16,FALSE)</f>
        <v>ALFBRU7I</v>
      </c>
      <c r="AG3" s="7">
        <f>VLOOKUP($B3,emp_info!$C$3:$U$100,17,FALSE)</f>
        <v>9965411</v>
      </c>
      <c r="AH3" s="7" t="str">
        <f>VLOOKUP($B3,emp_info!$C$3:$U$100,18,FALSE)</f>
        <v>DEUTSCHI BANK TRUST COMPANY AMERICAS, NEW YORK, USA
SWIFT: ASDEM55</v>
      </c>
      <c r="AI3" s="7" t="str">
        <f>VLOOKUP($G3,contragent!$B$3:$I$10,2,FALSE)</f>
        <v>USA</v>
      </c>
      <c r="AJ3" s="7" t="str">
        <f>VLOOKUP($G3,contragent!$B$3:$I$10,3,FALSE)</f>
        <v>Markus LLC</v>
      </c>
      <c r="AK3" s="7" t="str">
        <f>VLOOKUP($G3,contragent!$B$3:$I$10,4,FALSE)</f>
        <v>410 Terry Avenue North Seattle, WA 98109
New Rochelle, NY 10801</v>
      </c>
      <c r="AL3" s="7" t="str">
        <f>VLOOKUP($G3,contragent!$B$3:$I$10,5,FALSE)</f>
        <v>номер регистрационного сертификата: 39687251940</v>
      </c>
      <c r="AM3" s="7" t="str">
        <f>VLOOKUP($G3,contragent!$B$3:$I$10,6,FALSE)</f>
        <v>the Registration Certificate Number ID 39687251940</v>
      </c>
      <c r="AN3" s="7" t="str">
        <f>VLOOKUP($G3,contragent!$B$3:$I$10,7,FALSE)</f>
        <v>Махатма Ганди</v>
      </c>
      <c r="AO3" s="7" t="str">
        <f>VLOOKUP($G3,contragent!$B$3:$I$10,8,FALSE)</f>
        <v>Mahatma Gandhi</v>
      </c>
    </row>
    <row r="4" spans="1:41" s="11" customFormat="1" ht="15" customHeight="1" x14ac:dyDescent="0.25">
      <c r="A4" s="30">
        <v>13</v>
      </c>
      <c r="B4" s="9" t="s">
        <v>79</v>
      </c>
      <c r="C4" s="11">
        <f t="shared" ref="C4:C67" si="0">D4*E4</f>
        <v>682</v>
      </c>
      <c r="D4" s="9">
        <f>IFERROR(VLOOKUP($B4,emp_info!$C$3:$U$100,19,FALSE),0)</f>
        <v>31</v>
      </c>
      <c r="E4" s="15">
        <v>22</v>
      </c>
      <c r="F4" s="9">
        <v>9</v>
      </c>
      <c r="G4" s="10" t="s">
        <v>19</v>
      </c>
      <c r="H4" s="11" t="str">
        <f>NumberstoWords(C4)</f>
        <v>Six hundred eighty two</v>
      </c>
      <c r="I4" s="17">
        <f t="shared" ref="I4:I67" si="1">EOMONTH($A$12,-1)</f>
        <v>43404</v>
      </c>
      <c r="J4" s="21">
        <f t="shared" ref="J4:J67" si="2">EOMONTH($A$12,-1)</f>
        <v>43404</v>
      </c>
      <c r="K4" s="19">
        <f t="shared" ref="K4:K67" si="3">EOMONTH($A$12,-2)+1</f>
        <v>43374</v>
      </c>
      <c r="L4" s="19">
        <f t="shared" ref="L4:L67" si="4">EOMONTH($A$12,-1)</f>
        <v>43404</v>
      </c>
      <c r="M4" s="18">
        <f t="shared" ref="M4:M67" si="5">EOMONTH($A$12,-2)+1</f>
        <v>43374</v>
      </c>
      <c r="N4" s="18">
        <f t="shared" ref="N4:N67" si="6">EOMONTH($A$12,-1)</f>
        <v>43404</v>
      </c>
      <c r="O4" s="7" t="str">
        <f t="shared" ref="O4:O67" si="7">СуммаПрописью(C4)</f>
        <v xml:space="preserve">Шестьсот восемьдесят два </v>
      </c>
      <c r="P4" s="7" t="str">
        <f t="shared" ref="P4:P67" si="8">Склондолларов(C4)</f>
        <v>Доллара</v>
      </c>
      <c r="Q4" s="25">
        <f t="shared" ref="Q4:R67" si="9">$A$12</f>
        <v>43417</v>
      </c>
      <c r="R4" s="26">
        <f t="shared" si="9"/>
        <v>43417</v>
      </c>
      <c r="S4" s="26">
        <f t="shared" ref="S4:S67" si="10">$A$14</f>
        <v>43423</v>
      </c>
      <c r="T4" s="7" t="str">
        <f>VLOOKUP($B4,emp_info!$C$3:$U$100,2,FALSE)</f>
        <v>Anton Sergeevich Gorodetskiy</v>
      </c>
      <c r="U4" s="7">
        <f>VLOOKUP($B4,emp_info!$C$3:$U$100,3,FALSE)</f>
        <v>123546987</v>
      </c>
      <c r="V4" s="25">
        <f>VLOOKUP($B4,emp_info!$C$3:$U$100,4,FALSE)</f>
        <v>41705</v>
      </c>
      <c r="W4" s="7">
        <f>VLOOKUP($B4,emp_info!$C$3:$U$100,5,FALSE)</f>
        <v>24</v>
      </c>
      <c r="X4" s="25">
        <f>VLOOKUP($B4,emp_info!$C$3:$U$100,6,FALSE)</f>
        <v>43101</v>
      </c>
      <c r="Y4" s="7" t="str">
        <f>VLOOKUP($B4,emp_info!$C$3:$U$100,7,FALSE)</f>
        <v>Услуги по разработке, адаптации и модификации компьютерных программ и БД</v>
      </c>
      <c r="Z4" s="7" t="str">
        <f>VLOOKUP($B4,emp_info!$C$3:$U$100,8,FALSE)</f>
        <v>Services for the development, adaptation and modification of computer programs and databases</v>
      </c>
      <c r="AA4" s="7" t="str">
        <f>VLOOKUP($B4,emp_info!$C$3:$U$100,11,FALSE)</f>
        <v>IP Anton Gorodetskiy</v>
      </c>
      <c r="AB4" s="7" t="str">
        <f>VLOOKUP($B4,emp_info!$C$3:$U$100,12,FALSE)</f>
        <v>74 app. 13, 8 March street, Moskow, Russia</v>
      </c>
      <c r="AC4" s="7" t="str">
        <f>VLOOKUP($B4,emp_info!$C$3:$U$100,13,FALSE)</f>
        <v>Closed Joint-Stock Company «Alfb-Bank», Russia</v>
      </c>
      <c r="AD4" s="7" t="str">
        <f>VLOOKUP($B4,emp_info!$C$3:$U$100,14,FALSE)</f>
        <v>8-a, Partizansky  Av., 996622 Moscow Russian Federation</v>
      </c>
      <c r="AE4" s="7" t="str">
        <f>VLOOKUP($B4,emp_info!$C$3:$U$100,15,FALSE)</f>
        <v>RU55ALFB96325874135489620000</v>
      </c>
      <c r="AF4" s="7" t="str">
        <f>VLOOKUP($B4,emp_info!$C$3:$U$100,16,FALSE)</f>
        <v>ALFBRU7I</v>
      </c>
      <c r="AG4" s="7">
        <f>VLOOKUP($B4,emp_info!$C$3:$U$100,17,FALSE)</f>
        <v>123654896</v>
      </c>
      <c r="AH4" s="7" t="str">
        <f>VLOOKUP($B4,emp_info!$C$3:$U$100,18,FALSE)</f>
        <v xml:space="preserve">DTV Bank (Deutschland) AG, Rüsterstraße 7-19, 62627 Frankfurt am Main, Germany, SWIFT: DSDFVXOO </v>
      </c>
      <c r="AI4" s="7" t="str">
        <f>VLOOKUP($G4,contragent!$B$3:$I$10,2,FALSE)</f>
        <v>England</v>
      </c>
      <c r="AJ4" s="7" t="str">
        <f>VLOOKUP($G4,contragent!$B$3:$I$10,3,FALSE)</f>
        <v>Markus LTD</v>
      </c>
      <c r="AK4" s="7" t="str">
        <f>VLOOKUP($G4,contragent!$B$3:$I$10,4,FALSE)</f>
        <v>1 Principal Place, Worship Street, London, EC2A 2FA 
Epinal Way,
Loughborough
LE11 3GE
United Kingdom</v>
      </c>
      <c r="AL4" s="7" t="str">
        <f>VLOOKUP($G4,contragent!$B$3:$I$10,5,FALSE)</f>
        <v xml:space="preserve">идентификационный номер в реестре компаний Англии и Уэльса: 7456321 </v>
      </c>
      <c r="AM4" s="7" t="str">
        <f>VLOOKUP($G4,contragent!$B$3:$I$10,6,FALSE)</f>
        <v xml:space="preserve">the Register of Companies for England and Wales Company ID 7456321 </v>
      </c>
      <c r="AN4" s="7" t="str">
        <f>VLOOKUP($G4,contragent!$B$3:$I$10,7,FALSE)</f>
        <v>Махатма Ганди</v>
      </c>
      <c r="AO4" s="7" t="str">
        <f>VLOOKUP($G4,contragent!$B$3:$I$10,8,FALSE)</f>
        <v>Mahatma Gandhi</v>
      </c>
    </row>
    <row r="5" spans="1:41" ht="15" customHeight="1" x14ac:dyDescent="0.25">
      <c r="A5" s="32" t="s">
        <v>66</v>
      </c>
      <c r="B5" s="9"/>
      <c r="C5" s="11">
        <f t="shared" si="0"/>
        <v>0</v>
      </c>
      <c r="D5" s="9">
        <f>IFERROR(VLOOKUP($B5,emp_info!$C$3:$U$100,19,FALSE),0)</f>
        <v>0</v>
      </c>
      <c r="E5" s="15">
        <v>0</v>
      </c>
      <c r="F5" s="9" t="e">
        <f>DATEDIF(VLOOKUP(B5,emp_info!$C$3:$U$100,6,FALSE),DATE($A$10,$A$8,DAY(VLOOKUP(B5,emp_info!$C$3:$U$100,6,FALSE))),"m")+_xlfn.IFNA(VLOOKUP(B5,emp_info!$C$3:$V$100,20,FALSE),0)</f>
        <v>#N/A</v>
      </c>
      <c r="G5" s="10"/>
      <c r="H5" s="11" t="str">
        <f t="shared" ref="H5:H68" si="11">NumberstoWords(C5)</f>
        <v/>
      </c>
      <c r="I5" s="17">
        <f t="shared" si="1"/>
        <v>43404</v>
      </c>
      <c r="J5" s="21">
        <f t="shared" si="2"/>
        <v>43404</v>
      </c>
      <c r="K5" s="19">
        <f t="shared" si="3"/>
        <v>43374</v>
      </c>
      <c r="L5" s="19">
        <f t="shared" si="4"/>
        <v>43404</v>
      </c>
      <c r="M5" s="18">
        <f t="shared" si="5"/>
        <v>43374</v>
      </c>
      <c r="N5" s="18">
        <f t="shared" si="6"/>
        <v>43404</v>
      </c>
      <c r="O5" s="7" t="str">
        <f t="shared" si="7"/>
        <v xml:space="preserve">Ноль </v>
      </c>
      <c r="P5" s="7" t="str">
        <f t="shared" si="8"/>
        <v>Долларов</v>
      </c>
      <c r="Q5" s="25">
        <f t="shared" si="9"/>
        <v>43417</v>
      </c>
      <c r="R5" s="26">
        <f t="shared" si="9"/>
        <v>43417</v>
      </c>
      <c r="S5" s="26">
        <f t="shared" si="10"/>
        <v>43423</v>
      </c>
      <c r="T5" s="7" t="e">
        <f>VLOOKUP($B5,emp_info!$C$3:$U$100,2,FALSE)</f>
        <v>#N/A</v>
      </c>
      <c r="U5" s="7" t="e">
        <f>VLOOKUP($B5,emp_info!$C$3:$U$100,3,FALSE)</f>
        <v>#N/A</v>
      </c>
      <c r="V5" s="25" t="e">
        <f>VLOOKUP($B5,emp_info!$C$3:$U$100,4,FALSE)</f>
        <v>#N/A</v>
      </c>
      <c r="W5" s="7" t="e">
        <f>VLOOKUP($B5,emp_info!$C$3:$U$100,5,FALSE)</f>
        <v>#N/A</v>
      </c>
      <c r="X5" s="25" t="e">
        <f>VLOOKUP($B5,emp_info!$C$3:$U$100,6,FALSE)</f>
        <v>#N/A</v>
      </c>
      <c r="Y5" s="7" t="e">
        <f>VLOOKUP($B5,emp_info!$C$3:$U$100,7,FALSE)</f>
        <v>#N/A</v>
      </c>
      <c r="Z5" s="7" t="e">
        <f>VLOOKUP($B5,emp_info!$C$3:$U$100,8,FALSE)</f>
        <v>#N/A</v>
      </c>
      <c r="AA5" s="7" t="e">
        <f>VLOOKUP($B5,emp_info!$C$3:$U$100,11,FALSE)</f>
        <v>#N/A</v>
      </c>
      <c r="AB5" s="7" t="e">
        <f>VLOOKUP($B5,emp_info!$C$3:$U$100,12,FALSE)</f>
        <v>#N/A</v>
      </c>
      <c r="AC5" s="7" t="e">
        <f>VLOOKUP($B5,emp_info!$C$3:$U$100,13,FALSE)</f>
        <v>#N/A</v>
      </c>
      <c r="AD5" s="7" t="e">
        <f>VLOOKUP($B5,emp_info!$C$3:$U$100,14,FALSE)</f>
        <v>#N/A</v>
      </c>
      <c r="AE5" s="7" t="e">
        <f>VLOOKUP($B5,emp_info!$C$3:$U$100,15,FALSE)</f>
        <v>#N/A</v>
      </c>
      <c r="AF5" s="7" t="e">
        <f>VLOOKUP($B5,emp_info!$C$3:$U$100,16,FALSE)</f>
        <v>#N/A</v>
      </c>
      <c r="AG5" s="7" t="e">
        <f>VLOOKUP($B5,emp_info!$C$3:$U$100,17,FALSE)</f>
        <v>#N/A</v>
      </c>
      <c r="AH5" s="7" t="e">
        <f>VLOOKUP($B5,emp_info!$C$3:$U$100,18,FALSE)</f>
        <v>#N/A</v>
      </c>
      <c r="AI5" s="7" t="e">
        <f>VLOOKUP($G5,contragent!$B$3:$I$10,2,FALSE)</f>
        <v>#N/A</v>
      </c>
      <c r="AJ5" s="7" t="e">
        <f>VLOOKUP($G5,contragent!$B$3:$I$10,3,FALSE)</f>
        <v>#N/A</v>
      </c>
      <c r="AK5" s="7" t="e">
        <f>VLOOKUP($G5,contragent!$B$3:$I$10,4,FALSE)</f>
        <v>#N/A</v>
      </c>
      <c r="AL5" s="7" t="e">
        <f>VLOOKUP($G5,contragent!$B$3:$I$10,5,FALSE)</f>
        <v>#N/A</v>
      </c>
      <c r="AM5" s="7" t="e">
        <f>VLOOKUP($G5,contragent!$B$3:$I$10,6,FALSE)</f>
        <v>#N/A</v>
      </c>
      <c r="AN5" s="7" t="e">
        <f>VLOOKUP($G5,contragent!$B$3:$I$10,7,FALSE)</f>
        <v>#N/A</v>
      </c>
      <c r="AO5" s="7" t="e">
        <f>VLOOKUP($G5,contragent!$B$3:$I$10,8,FALSE)</f>
        <v>#N/A</v>
      </c>
    </row>
    <row r="6" spans="1:41" ht="15" customHeight="1" x14ac:dyDescent="0.25">
      <c r="A6" s="31">
        <v>19</v>
      </c>
      <c r="B6" s="9"/>
      <c r="C6" s="11">
        <f t="shared" si="0"/>
        <v>0</v>
      </c>
      <c r="D6" s="9">
        <f>IFERROR(VLOOKUP($B6,emp_info!$C$3:$U$100,19,FALSE),0)</f>
        <v>0</v>
      </c>
      <c r="E6" s="15">
        <v>0</v>
      </c>
      <c r="F6" s="9" t="e">
        <f>DATEDIF(VLOOKUP(B6,emp_info!$C$3:$U$100,6,FALSE),DATE($A$10,$A$8,DAY(VLOOKUP(B6,emp_info!$C$3:$U$100,6,FALSE))),"m")+_xlfn.IFNA(VLOOKUP(B6,emp_info!$C$3:$V$100,20,FALSE),0)</f>
        <v>#N/A</v>
      </c>
      <c r="G6" s="10"/>
      <c r="H6" s="11" t="str">
        <f t="shared" si="11"/>
        <v/>
      </c>
      <c r="I6" s="17">
        <f t="shared" si="1"/>
        <v>43404</v>
      </c>
      <c r="J6" s="21">
        <f t="shared" si="2"/>
        <v>43404</v>
      </c>
      <c r="K6" s="19">
        <f t="shared" si="3"/>
        <v>43374</v>
      </c>
      <c r="L6" s="19">
        <f t="shared" si="4"/>
        <v>43404</v>
      </c>
      <c r="M6" s="18">
        <f t="shared" si="5"/>
        <v>43374</v>
      </c>
      <c r="N6" s="18">
        <f t="shared" si="6"/>
        <v>43404</v>
      </c>
      <c r="O6" s="7" t="str">
        <f t="shared" si="7"/>
        <v xml:space="preserve">Ноль </v>
      </c>
      <c r="P6" s="7" t="str">
        <f t="shared" si="8"/>
        <v>Долларов</v>
      </c>
      <c r="Q6" s="25">
        <f t="shared" si="9"/>
        <v>43417</v>
      </c>
      <c r="R6" s="26">
        <f t="shared" si="9"/>
        <v>43417</v>
      </c>
      <c r="S6" s="26">
        <f t="shared" si="10"/>
        <v>43423</v>
      </c>
      <c r="T6" s="7" t="e">
        <f>VLOOKUP($B6,emp_info!$C$3:$U$100,2,FALSE)</f>
        <v>#N/A</v>
      </c>
      <c r="U6" s="7" t="e">
        <f>VLOOKUP($B6,emp_info!$C$3:$U$100,3,FALSE)</f>
        <v>#N/A</v>
      </c>
      <c r="V6" s="25" t="e">
        <f>VLOOKUP($B6,emp_info!$C$3:$U$100,4,FALSE)</f>
        <v>#N/A</v>
      </c>
      <c r="W6" s="7" t="e">
        <f>VLOOKUP($B6,emp_info!$C$3:$U$100,5,FALSE)</f>
        <v>#N/A</v>
      </c>
      <c r="X6" s="25" t="e">
        <f>VLOOKUP($B6,emp_info!$C$3:$U$100,6,FALSE)</f>
        <v>#N/A</v>
      </c>
      <c r="Y6" s="7" t="e">
        <f>VLOOKUP($B6,emp_info!$C$3:$U$100,7,FALSE)</f>
        <v>#N/A</v>
      </c>
      <c r="Z6" s="7" t="e">
        <f>VLOOKUP($B6,emp_info!$C$3:$U$100,8,FALSE)</f>
        <v>#N/A</v>
      </c>
      <c r="AA6" s="7" t="e">
        <f>VLOOKUP($B6,emp_info!$C$3:$U$100,11,FALSE)</f>
        <v>#N/A</v>
      </c>
      <c r="AB6" s="7" t="e">
        <f>VLOOKUP($B6,emp_info!$C$3:$U$100,12,FALSE)</f>
        <v>#N/A</v>
      </c>
      <c r="AC6" s="7" t="e">
        <f>VLOOKUP($B6,emp_info!$C$3:$U$100,13,FALSE)</f>
        <v>#N/A</v>
      </c>
      <c r="AD6" s="7" t="e">
        <f>VLOOKUP($B6,emp_info!$C$3:$U$100,14,FALSE)</f>
        <v>#N/A</v>
      </c>
      <c r="AE6" s="7" t="e">
        <f>VLOOKUP($B6,emp_info!$C$3:$U$100,15,FALSE)</f>
        <v>#N/A</v>
      </c>
      <c r="AF6" s="7" t="e">
        <f>VLOOKUP($B6,emp_info!$C$3:$U$100,16,FALSE)</f>
        <v>#N/A</v>
      </c>
      <c r="AG6" s="7" t="e">
        <f>VLOOKUP($B6,emp_info!$C$3:$U$100,17,FALSE)</f>
        <v>#N/A</v>
      </c>
      <c r="AH6" s="7" t="e">
        <f>VLOOKUP($B6,emp_info!$C$3:$U$100,18,FALSE)</f>
        <v>#N/A</v>
      </c>
      <c r="AI6" s="7" t="e">
        <f>VLOOKUP($G6,contragent!$B$3:$I$10,2,FALSE)</f>
        <v>#N/A</v>
      </c>
      <c r="AJ6" s="7" t="e">
        <f>VLOOKUP($G6,contragent!$B$3:$I$10,3,FALSE)</f>
        <v>#N/A</v>
      </c>
      <c r="AK6" s="7" t="e">
        <f>VLOOKUP($G6,contragent!$B$3:$I$10,4,FALSE)</f>
        <v>#N/A</v>
      </c>
      <c r="AL6" s="7" t="e">
        <f>VLOOKUP($G6,contragent!$B$3:$I$10,5,FALSE)</f>
        <v>#N/A</v>
      </c>
      <c r="AM6" s="7" t="e">
        <f>VLOOKUP($G6,contragent!$B$3:$I$10,6,FALSE)</f>
        <v>#N/A</v>
      </c>
      <c r="AN6" s="7" t="e">
        <f>VLOOKUP($G6,contragent!$B$3:$I$10,7,FALSE)</f>
        <v>#N/A</v>
      </c>
      <c r="AO6" s="7" t="e">
        <f>VLOOKUP($G6,contragent!$B$3:$I$10,8,FALSE)</f>
        <v>#N/A</v>
      </c>
    </row>
    <row r="7" spans="1:41" ht="15" customHeight="1" x14ac:dyDescent="0.25">
      <c r="A7" s="32" t="s">
        <v>64</v>
      </c>
      <c r="B7" s="9"/>
      <c r="C7" s="11">
        <f t="shared" si="0"/>
        <v>0</v>
      </c>
      <c r="D7" s="9">
        <f>IFERROR(VLOOKUP($B7,emp_info!$C$3:$U$100,19,FALSE),0)</f>
        <v>0</v>
      </c>
      <c r="E7" s="15">
        <v>0</v>
      </c>
      <c r="F7" s="9" t="e">
        <f>DATEDIF(VLOOKUP(B7,emp_info!$C$3:$U$100,6,FALSE),DATE($A$10,$A$8,DAY(VLOOKUP(B7,emp_info!$C$3:$U$100,6,FALSE))),"m")+_xlfn.IFNA(VLOOKUP(B7,emp_info!$C$3:$V$100,20,FALSE),0)</f>
        <v>#N/A</v>
      </c>
      <c r="G7" s="10"/>
      <c r="H7" s="11" t="str">
        <f t="shared" si="11"/>
        <v/>
      </c>
      <c r="I7" s="17">
        <f t="shared" si="1"/>
        <v>43404</v>
      </c>
      <c r="J7" s="21">
        <f t="shared" si="2"/>
        <v>43404</v>
      </c>
      <c r="K7" s="19">
        <f t="shared" si="3"/>
        <v>43374</v>
      </c>
      <c r="L7" s="19">
        <f t="shared" si="4"/>
        <v>43404</v>
      </c>
      <c r="M7" s="18">
        <f t="shared" si="5"/>
        <v>43374</v>
      </c>
      <c r="N7" s="18">
        <f t="shared" si="6"/>
        <v>43404</v>
      </c>
      <c r="O7" s="7" t="str">
        <f t="shared" si="7"/>
        <v xml:space="preserve">Ноль </v>
      </c>
      <c r="P7" s="7" t="str">
        <f t="shared" si="8"/>
        <v>Долларов</v>
      </c>
      <c r="Q7" s="25">
        <f t="shared" si="9"/>
        <v>43417</v>
      </c>
      <c r="R7" s="26">
        <f t="shared" si="9"/>
        <v>43417</v>
      </c>
      <c r="S7" s="26">
        <f t="shared" si="10"/>
        <v>43423</v>
      </c>
      <c r="T7" s="7" t="e">
        <f>VLOOKUP($B7,emp_info!$C$3:$U$100,2,FALSE)</f>
        <v>#N/A</v>
      </c>
      <c r="U7" s="7" t="e">
        <f>VLOOKUP($B7,emp_info!$C$3:$U$100,3,FALSE)</f>
        <v>#N/A</v>
      </c>
      <c r="V7" s="25" t="e">
        <f>VLOOKUP($B7,emp_info!$C$3:$U$100,4,FALSE)</f>
        <v>#N/A</v>
      </c>
      <c r="W7" s="7" t="e">
        <f>VLOOKUP($B7,emp_info!$C$3:$U$100,5,FALSE)</f>
        <v>#N/A</v>
      </c>
      <c r="X7" s="25" t="e">
        <f>VLOOKUP($B7,emp_info!$C$3:$U$100,6,FALSE)</f>
        <v>#N/A</v>
      </c>
      <c r="Y7" s="7" t="e">
        <f>VLOOKUP($B7,emp_info!$C$3:$U$100,7,FALSE)</f>
        <v>#N/A</v>
      </c>
      <c r="Z7" s="7" t="e">
        <f>VLOOKUP($B7,emp_info!$C$3:$U$100,8,FALSE)</f>
        <v>#N/A</v>
      </c>
      <c r="AA7" s="7" t="e">
        <f>VLOOKUP($B7,emp_info!$C$3:$U$100,11,FALSE)</f>
        <v>#N/A</v>
      </c>
      <c r="AB7" s="7" t="e">
        <f>VLOOKUP($B7,emp_info!$C$3:$U$100,12,FALSE)</f>
        <v>#N/A</v>
      </c>
      <c r="AC7" s="7" t="e">
        <f>VLOOKUP($B7,emp_info!$C$3:$U$100,13,FALSE)</f>
        <v>#N/A</v>
      </c>
      <c r="AD7" s="7" t="e">
        <f>VLOOKUP($B7,emp_info!$C$3:$U$100,14,FALSE)</f>
        <v>#N/A</v>
      </c>
      <c r="AE7" s="7" t="e">
        <f>VLOOKUP($B7,emp_info!$C$3:$U$100,15,FALSE)</f>
        <v>#N/A</v>
      </c>
      <c r="AF7" s="7" t="e">
        <f>VLOOKUP($B7,emp_info!$C$3:$U$100,16,FALSE)</f>
        <v>#N/A</v>
      </c>
      <c r="AG7" s="7" t="e">
        <f>VLOOKUP($B7,emp_info!$C$3:$U$100,17,FALSE)</f>
        <v>#N/A</v>
      </c>
      <c r="AH7" s="7" t="e">
        <f>VLOOKUP($B7,emp_info!$C$3:$U$100,18,FALSE)</f>
        <v>#N/A</v>
      </c>
      <c r="AI7" s="7" t="e">
        <f>VLOOKUP($G7,contragent!$B$3:$I$10,2,FALSE)</f>
        <v>#N/A</v>
      </c>
      <c r="AJ7" s="7" t="e">
        <f>VLOOKUP($G7,contragent!$B$3:$I$10,3,FALSE)</f>
        <v>#N/A</v>
      </c>
      <c r="AK7" s="7" t="e">
        <f>VLOOKUP($G7,contragent!$B$3:$I$10,4,FALSE)</f>
        <v>#N/A</v>
      </c>
      <c r="AL7" s="7" t="e">
        <f>VLOOKUP($G7,contragent!$B$3:$I$10,5,FALSE)</f>
        <v>#N/A</v>
      </c>
      <c r="AM7" s="7" t="e">
        <f>VLOOKUP($G7,contragent!$B$3:$I$10,6,FALSE)</f>
        <v>#N/A</v>
      </c>
      <c r="AN7" s="7" t="e">
        <f>VLOOKUP($G7,contragent!$B$3:$I$10,7,FALSE)</f>
        <v>#N/A</v>
      </c>
      <c r="AO7" s="7" t="e">
        <f>VLOOKUP($G7,contragent!$B$3:$I$10,8,FALSE)</f>
        <v>#N/A</v>
      </c>
    </row>
    <row r="8" spans="1:41" x14ac:dyDescent="0.25">
      <c r="A8" s="31">
        <v>11</v>
      </c>
      <c r="B8" s="9"/>
      <c r="C8" s="11">
        <f t="shared" si="0"/>
        <v>0</v>
      </c>
      <c r="D8" s="9">
        <f>IFERROR(VLOOKUP($B8,emp_info!$C$3:$U$100,19,FALSE),0)</f>
        <v>0</v>
      </c>
      <c r="E8" s="15">
        <v>0</v>
      </c>
      <c r="F8" s="9" t="e">
        <f>DATEDIF(VLOOKUP(B8,emp_info!$C$3:$U$100,6,FALSE),DATE($A$10,$A$8,DAY(VLOOKUP(B8,emp_info!$C$3:$U$100,6,FALSE))),"m")+_xlfn.IFNA(VLOOKUP(B8,emp_info!$C$3:$V$100,20,FALSE),0)</f>
        <v>#N/A</v>
      </c>
      <c r="G8" s="10"/>
      <c r="H8" s="11" t="str">
        <f t="shared" si="11"/>
        <v/>
      </c>
      <c r="I8" s="17">
        <f t="shared" si="1"/>
        <v>43404</v>
      </c>
      <c r="J8" s="21">
        <f t="shared" si="2"/>
        <v>43404</v>
      </c>
      <c r="K8" s="19">
        <f t="shared" si="3"/>
        <v>43374</v>
      </c>
      <c r="L8" s="19">
        <f t="shared" si="4"/>
        <v>43404</v>
      </c>
      <c r="M8" s="18">
        <f t="shared" si="5"/>
        <v>43374</v>
      </c>
      <c r="N8" s="18">
        <f t="shared" si="6"/>
        <v>43404</v>
      </c>
      <c r="O8" s="7" t="str">
        <f t="shared" si="7"/>
        <v xml:space="preserve">Ноль </v>
      </c>
      <c r="P8" s="7" t="str">
        <f t="shared" si="8"/>
        <v>Долларов</v>
      </c>
      <c r="Q8" s="25">
        <f t="shared" si="9"/>
        <v>43417</v>
      </c>
      <c r="R8" s="26">
        <f t="shared" si="9"/>
        <v>43417</v>
      </c>
      <c r="S8" s="26">
        <f t="shared" si="10"/>
        <v>43423</v>
      </c>
      <c r="T8" s="7" t="e">
        <f>VLOOKUP($B8,emp_info!$C$3:$U$100,2,FALSE)</f>
        <v>#N/A</v>
      </c>
      <c r="U8" s="7" t="e">
        <f>VLOOKUP($B8,emp_info!$C$3:$U$100,3,FALSE)</f>
        <v>#N/A</v>
      </c>
      <c r="V8" s="25" t="e">
        <f>VLOOKUP($B8,emp_info!$C$3:$U$100,4,FALSE)</f>
        <v>#N/A</v>
      </c>
      <c r="W8" s="7" t="e">
        <f>VLOOKUP($B8,emp_info!$C$3:$U$100,5,FALSE)</f>
        <v>#N/A</v>
      </c>
      <c r="X8" s="25" t="e">
        <f>VLOOKUP($B8,emp_info!$C$3:$U$100,6,FALSE)</f>
        <v>#N/A</v>
      </c>
      <c r="Y8" s="7" t="e">
        <f>VLOOKUP($B8,emp_info!$C$3:$U$100,7,FALSE)</f>
        <v>#N/A</v>
      </c>
      <c r="Z8" s="7" t="e">
        <f>VLOOKUP($B8,emp_info!$C$3:$U$100,8,FALSE)</f>
        <v>#N/A</v>
      </c>
      <c r="AA8" s="7" t="e">
        <f>VLOOKUP($B8,emp_info!$C$3:$U$100,11,FALSE)</f>
        <v>#N/A</v>
      </c>
      <c r="AB8" s="7" t="e">
        <f>VLOOKUP($B8,emp_info!$C$3:$U$100,12,FALSE)</f>
        <v>#N/A</v>
      </c>
      <c r="AC8" s="7" t="e">
        <f>VLOOKUP($B8,emp_info!$C$3:$U$100,13,FALSE)</f>
        <v>#N/A</v>
      </c>
      <c r="AD8" s="7" t="e">
        <f>VLOOKUP($B8,emp_info!$C$3:$U$100,14,FALSE)</f>
        <v>#N/A</v>
      </c>
      <c r="AE8" s="7" t="e">
        <f>VLOOKUP($B8,emp_info!$C$3:$U$100,15,FALSE)</f>
        <v>#N/A</v>
      </c>
      <c r="AF8" s="7" t="e">
        <f>VLOOKUP($B8,emp_info!$C$3:$U$100,16,FALSE)</f>
        <v>#N/A</v>
      </c>
      <c r="AG8" s="7" t="e">
        <f>VLOOKUP($B8,emp_info!$C$3:$U$100,17,FALSE)</f>
        <v>#N/A</v>
      </c>
      <c r="AH8" s="7" t="e">
        <f>VLOOKUP($B8,emp_info!$C$3:$U$100,18,FALSE)</f>
        <v>#N/A</v>
      </c>
      <c r="AI8" s="7" t="e">
        <f>VLOOKUP($G8,contragent!$B$3:$I$10,2,FALSE)</f>
        <v>#N/A</v>
      </c>
      <c r="AJ8" s="7" t="e">
        <f>VLOOKUP($G8,contragent!$B$3:$I$10,3,FALSE)</f>
        <v>#N/A</v>
      </c>
      <c r="AK8" s="7" t="e">
        <f>VLOOKUP($G8,contragent!$B$3:$I$10,4,FALSE)</f>
        <v>#N/A</v>
      </c>
      <c r="AL8" s="7" t="e">
        <f>VLOOKUP($G8,contragent!$B$3:$I$10,5,FALSE)</f>
        <v>#N/A</v>
      </c>
      <c r="AM8" s="7" t="e">
        <f>VLOOKUP($G8,contragent!$B$3:$I$10,6,FALSE)</f>
        <v>#N/A</v>
      </c>
      <c r="AN8" s="7" t="e">
        <f>VLOOKUP($G8,contragent!$B$3:$I$10,7,FALSE)</f>
        <v>#N/A</v>
      </c>
      <c r="AO8" s="7" t="e">
        <f>VLOOKUP($G8,contragent!$B$3:$I$10,8,FALSE)</f>
        <v>#N/A</v>
      </c>
    </row>
    <row r="9" spans="1:41" x14ac:dyDescent="0.25">
      <c r="A9" s="32" t="s">
        <v>65</v>
      </c>
      <c r="B9" s="9"/>
      <c r="C9" s="11">
        <f t="shared" si="0"/>
        <v>0</v>
      </c>
      <c r="D9" s="9">
        <f>IFERROR(VLOOKUP($B9,emp_info!$C$3:$U$100,19,FALSE),0)</f>
        <v>0</v>
      </c>
      <c r="E9" s="15">
        <v>0</v>
      </c>
      <c r="F9" s="9" t="e">
        <f>DATEDIF(VLOOKUP(B9,emp_info!$C$3:$U$100,6,FALSE),DATE($A$10,$A$8,DAY(VLOOKUP(B9,emp_info!$C$3:$U$100,6,FALSE))),"m")+_xlfn.IFNA(VLOOKUP(B9,emp_info!$C$3:$V$100,20,FALSE),0)</f>
        <v>#N/A</v>
      </c>
      <c r="G9" s="10"/>
      <c r="H9" s="11" t="str">
        <f t="shared" si="11"/>
        <v/>
      </c>
      <c r="I9" s="17">
        <f t="shared" si="1"/>
        <v>43404</v>
      </c>
      <c r="J9" s="21">
        <f t="shared" si="2"/>
        <v>43404</v>
      </c>
      <c r="K9" s="19">
        <f t="shared" si="3"/>
        <v>43374</v>
      </c>
      <c r="L9" s="19">
        <f t="shared" si="4"/>
        <v>43404</v>
      </c>
      <c r="M9" s="18">
        <f t="shared" si="5"/>
        <v>43374</v>
      </c>
      <c r="N9" s="18">
        <f t="shared" si="6"/>
        <v>43404</v>
      </c>
      <c r="O9" s="7" t="str">
        <f t="shared" si="7"/>
        <v xml:space="preserve">Ноль </v>
      </c>
      <c r="P9" s="7" t="str">
        <f t="shared" si="8"/>
        <v>Долларов</v>
      </c>
      <c r="Q9" s="25">
        <f t="shared" si="9"/>
        <v>43417</v>
      </c>
      <c r="R9" s="26">
        <f t="shared" si="9"/>
        <v>43417</v>
      </c>
      <c r="S9" s="26">
        <f t="shared" si="10"/>
        <v>43423</v>
      </c>
      <c r="T9" s="7" t="e">
        <f>VLOOKUP($B9,emp_info!$C$3:$U$100,2,FALSE)</f>
        <v>#N/A</v>
      </c>
      <c r="U9" s="7" t="e">
        <f>VLOOKUP($B9,emp_info!$C$3:$U$100,3,FALSE)</f>
        <v>#N/A</v>
      </c>
      <c r="V9" s="25" t="e">
        <f>VLOOKUP($B9,emp_info!$C$3:$U$100,4,FALSE)</f>
        <v>#N/A</v>
      </c>
      <c r="W9" s="7" t="e">
        <f>VLOOKUP($B9,emp_info!$C$3:$U$100,5,FALSE)</f>
        <v>#N/A</v>
      </c>
      <c r="X9" s="25" t="e">
        <f>VLOOKUP($B9,emp_info!$C$3:$U$100,6,FALSE)</f>
        <v>#N/A</v>
      </c>
      <c r="Y9" s="7" t="e">
        <f>VLOOKUP($B9,emp_info!$C$3:$U$100,7,FALSE)</f>
        <v>#N/A</v>
      </c>
      <c r="Z9" s="7" t="e">
        <f>VLOOKUP($B9,emp_info!$C$3:$U$100,8,FALSE)</f>
        <v>#N/A</v>
      </c>
      <c r="AA9" s="7" t="e">
        <f>VLOOKUP($B9,emp_info!$C$3:$U$100,11,FALSE)</f>
        <v>#N/A</v>
      </c>
      <c r="AB9" s="7" t="e">
        <f>VLOOKUP($B9,emp_info!$C$3:$U$100,12,FALSE)</f>
        <v>#N/A</v>
      </c>
      <c r="AC9" s="7" t="e">
        <f>VLOOKUP($B9,emp_info!$C$3:$U$100,13,FALSE)</f>
        <v>#N/A</v>
      </c>
      <c r="AD9" s="7" t="e">
        <f>VLOOKUP($B9,emp_info!$C$3:$U$100,14,FALSE)</f>
        <v>#N/A</v>
      </c>
      <c r="AE9" s="7" t="e">
        <f>VLOOKUP($B9,emp_info!$C$3:$U$100,15,FALSE)</f>
        <v>#N/A</v>
      </c>
      <c r="AF9" s="7" t="e">
        <f>VLOOKUP($B9,emp_info!$C$3:$U$100,16,FALSE)</f>
        <v>#N/A</v>
      </c>
      <c r="AG9" s="7" t="e">
        <f>VLOOKUP($B9,emp_info!$C$3:$U$100,17,FALSE)</f>
        <v>#N/A</v>
      </c>
      <c r="AH9" s="7" t="e">
        <f>VLOOKUP($B9,emp_info!$C$3:$U$100,18,FALSE)</f>
        <v>#N/A</v>
      </c>
      <c r="AI9" s="7" t="e">
        <f>VLOOKUP($G9,contragent!$B$3:$I$10,2,FALSE)</f>
        <v>#N/A</v>
      </c>
      <c r="AJ9" s="7" t="e">
        <f>VLOOKUP($G9,contragent!$B$3:$I$10,3,FALSE)</f>
        <v>#N/A</v>
      </c>
      <c r="AK9" s="7" t="e">
        <f>VLOOKUP($G9,contragent!$B$3:$I$10,4,FALSE)</f>
        <v>#N/A</v>
      </c>
      <c r="AL9" s="7" t="e">
        <f>VLOOKUP($G9,contragent!$B$3:$I$10,5,FALSE)</f>
        <v>#N/A</v>
      </c>
      <c r="AM9" s="7" t="e">
        <f>VLOOKUP($G9,contragent!$B$3:$I$10,6,FALSE)</f>
        <v>#N/A</v>
      </c>
      <c r="AN9" s="7" t="e">
        <f>VLOOKUP($G9,contragent!$B$3:$I$10,7,FALSE)</f>
        <v>#N/A</v>
      </c>
      <c r="AO9" s="7" t="e">
        <f>VLOOKUP($G9,contragent!$B$3:$I$10,8,FALSE)</f>
        <v>#N/A</v>
      </c>
    </row>
    <row r="10" spans="1:41" x14ac:dyDescent="0.25">
      <c r="A10" s="31">
        <v>2018</v>
      </c>
      <c r="B10" s="9"/>
      <c r="C10" s="11">
        <f t="shared" si="0"/>
        <v>0</v>
      </c>
      <c r="D10" s="9">
        <f>IFERROR(VLOOKUP($B10,emp_info!$C$3:$U$100,19,FALSE),0)</f>
        <v>0</v>
      </c>
      <c r="E10" s="15">
        <v>0</v>
      </c>
      <c r="F10" s="9" t="e">
        <f>DATEDIF(VLOOKUP(B10,emp_info!$C$3:$U$100,6,FALSE),DATE($A$10,$A$8,DAY(VLOOKUP(B10,emp_info!$C$3:$U$100,6,FALSE))),"m")+_xlfn.IFNA(VLOOKUP(B10,emp_info!$C$3:$V$100,20,FALSE),0)</f>
        <v>#N/A</v>
      </c>
      <c r="G10" s="10"/>
      <c r="H10" s="11" t="str">
        <f t="shared" si="11"/>
        <v/>
      </c>
      <c r="I10" s="17">
        <f t="shared" si="1"/>
        <v>43404</v>
      </c>
      <c r="J10" s="21">
        <f t="shared" si="2"/>
        <v>43404</v>
      </c>
      <c r="K10" s="19">
        <f t="shared" si="3"/>
        <v>43374</v>
      </c>
      <c r="L10" s="19">
        <f t="shared" si="4"/>
        <v>43404</v>
      </c>
      <c r="M10" s="18">
        <f t="shared" si="5"/>
        <v>43374</v>
      </c>
      <c r="N10" s="18">
        <f t="shared" si="6"/>
        <v>43404</v>
      </c>
      <c r="O10" s="7" t="str">
        <f t="shared" si="7"/>
        <v xml:space="preserve">Ноль </v>
      </c>
      <c r="P10" s="7" t="str">
        <f t="shared" si="8"/>
        <v>Долларов</v>
      </c>
      <c r="Q10" s="25">
        <f t="shared" si="9"/>
        <v>43417</v>
      </c>
      <c r="R10" s="26">
        <f t="shared" si="9"/>
        <v>43417</v>
      </c>
      <c r="S10" s="26">
        <f t="shared" si="10"/>
        <v>43423</v>
      </c>
      <c r="T10" s="7" t="e">
        <f>VLOOKUP($B10,emp_info!$C$3:$U$100,2,FALSE)</f>
        <v>#N/A</v>
      </c>
      <c r="U10" s="7" t="e">
        <f>VLOOKUP($B10,emp_info!$C$3:$U$100,3,FALSE)</f>
        <v>#N/A</v>
      </c>
      <c r="V10" s="25" t="e">
        <f>VLOOKUP($B10,emp_info!$C$3:$U$100,4,FALSE)</f>
        <v>#N/A</v>
      </c>
      <c r="W10" s="7" t="e">
        <f>VLOOKUP($B10,emp_info!$C$3:$U$100,5,FALSE)</f>
        <v>#N/A</v>
      </c>
      <c r="X10" s="25" t="e">
        <f>VLOOKUP($B10,emp_info!$C$3:$U$100,6,FALSE)</f>
        <v>#N/A</v>
      </c>
      <c r="Y10" s="7" t="e">
        <f>VLOOKUP($B10,emp_info!$C$3:$U$100,7,FALSE)</f>
        <v>#N/A</v>
      </c>
      <c r="Z10" s="7" t="e">
        <f>VLOOKUP($B10,emp_info!$C$3:$U$100,8,FALSE)</f>
        <v>#N/A</v>
      </c>
      <c r="AA10" s="7" t="e">
        <f>VLOOKUP($B10,emp_info!$C$3:$U$100,11,FALSE)</f>
        <v>#N/A</v>
      </c>
      <c r="AB10" s="7" t="e">
        <f>VLOOKUP($B10,emp_info!$C$3:$U$100,12,FALSE)</f>
        <v>#N/A</v>
      </c>
      <c r="AC10" s="7" t="e">
        <f>VLOOKUP($B10,emp_info!$C$3:$U$100,13,FALSE)</f>
        <v>#N/A</v>
      </c>
      <c r="AD10" s="7" t="e">
        <f>VLOOKUP($B10,emp_info!$C$3:$U$100,14,FALSE)</f>
        <v>#N/A</v>
      </c>
      <c r="AE10" s="7" t="e">
        <f>VLOOKUP($B10,emp_info!$C$3:$U$100,15,FALSE)</f>
        <v>#N/A</v>
      </c>
      <c r="AF10" s="7" t="e">
        <f>VLOOKUP($B10,emp_info!$C$3:$U$100,16,FALSE)</f>
        <v>#N/A</v>
      </c>
      <c r="AG10" s="7" t="e">
        <f>VLOOKUP($B10,emp_info!$C$3:$U$100,17,FALSE)</f>
        <v>#N/A</v>
      </c>
      <c r="AH10" s="7" t="e">
        <f>VLOOKUP($B10,emp_info!$C$3:$U$100,18,FALSE)</f>
        <v>#N/A</v>
      </c>
      <c r="AI10" s="7" t="e">
        <f>VLOOKUP($G10,contragent!$B$3:$I$10,2,FALSE)</f>
        <v>#N/A</v>
      </c>
      <c r="AJ10" s="7" t="e">
        <f>VLOOKUP($G10,contragent!$B$3:$I$10,3,FALSE)</f>
        <v>#N/A</v>
      </c>
      <c r="AK10" s="7" t="e">
        <f>VLOOKUP($G10,contragent!$B$3:$I$10,4,FALSE)</f>
        <v>#N/A</v>
      </c>
      <c r="AL10" s="7" t="e">
        <f>VLOOKUP($G10,contragent!$B$3:$I$10,5,FALSE)</f>
        <v>#N/A</v>
      </c>
      <c r="AM10" s="7" t="e">
        <f>VLOOKUP($G10,contragent!$B$3:$I$10,6,FALSE)</f>
        <v>#N/A</v>
      </c>
      <c r="AN10" s="7" t="e">
        <f>VLOOKUP($G10,contragent!$B$3:$I$10,7,FALSE)</f>
        <v>#N/A</v>
      </c>
      <c r="AO10" s="7" t="e">
        <f>VLOOKUP($G10,contragent!$B$3:$I$10,8,FALSE)</f>
        <v>#N/A</v>
      </c>
    </row>
    <row r="11" spans="1:41" x14ac:dyDescent="0.25">
      <c r="A11" s="32" t="s">
        <v>68</v>
      </c>
      <c r="B11" s="9"/>
      <c r="C11" s="11">
        <f t="shared" si="0"/>
        <v>0</v>
      </c>
      <c r="D11" s="9">
        <f>IFERROR(VLOOKUP($B11,emp_info!$C$3:$U$100,19,FALSE),0)</f>
        <v>0</v>
      </c>
      <c r="E11" s="15">
        <v>0</v>
      </c>
      <c r="F11" s="9" t="e">
        <f>DATEDIF(VLOOKUP(B11,emp_info!$C$3:$U$100,6,FALSE),DATE($A$10,$A$8,DAY(VLOOKUP(B11,emp_info!$C$3:$U$100,6,FALSE))),"m")+_xlfn.IFNA(VLOOKUP(B11,emp_info!$C$3:$V$100,20,FALSE),0)</f>
        <v>#N/A</v>
      </c>
      <c r="G11" s="10"/>
      <c r="H11" s="11" t="str">
        <f t="shared" si="11"/>
        <v/>
      </c>
      <c r="I11" s="17">
        <f t="shared" si="1"/>
        <v>43404</v>
      </c>
      <c r="J11" s="21">
        <f t="shared" si="2"/>
        <v>43404</v>
      </c>
      <c r="K11" s="19">
        <f t="shared" si="3"/>
        <v>43374</v>
      </c>
      <c r="L11" s="19">
        <f t="shared" si="4"/>
        <v>43404</v>
      </c>
      <c r="M11" s="18">
        <f t="shared" si="5"/>
        <v>43374</v>
      </c>
      <c r="N11" s="18">
        <f t="shared" si="6"/>
        <v>43404</v>
      </c>
      <c r="O11" s="7" t="str">
        <f t="shared" si="7"/>
        <v xml:space="preserve">Ноль </v>
      </c>
      <c r="P11" s="7" t="str">
        <f t="shared" si="8"/>
        <v>Долларов</v>
      </c>
      <c r="Q11" s="25">
        <f t="shared" si="9"/>
        <v>43417</v>
      </c>
      <c r="R11" s="26">
        <f t="shared" si="9"/>
        <v>43417</v>
      </c>
      <c r="S11" s="26">
        <f t="shared" si="10"/>
        <v>43423</v>
      </c>
      <c r="T11" s="7" t="e">
        <f>VLOOKUP($B11,emp_info!$C$3:$U$100,2,FALSE)</f>
        <v>#N/A</v>
      </c>
      <c r="U11" s="7" t="e">
        <f>VLOOKUP($B11,emp_info!$C$3:$U$100,3,FALSE)</f>
        <v>#N/A</v>
      </c>
      <c r="V11" s="25" t="e">
        <f>VLOOKUP($B11,emp_info!$C$3:$U$100,4,FALSE)</f>
        <v>#N/A</v>
      </c>
      <c r="W11" s="7" t="e">
        <f>VLOOKUP($B11,emp_info!$C$3:$U$100,5,FALSE)</f>
        <v>#N/A</v>
      </c>
      <c r="X11" s="25" t="e">
        <f>VLOOKUP($B11,emp_info!$C$3:$U$100,6,FALSE)</f>
        <v>#N/A</v>
      </c>
      <c r="Y11" s="7" t="e">
        <f>VLOOKUP($B11,emp_info!$C$3:$U$100,7,FALSE)</f>
        <v>#N/A</v>
      </c>
      <c r="Z11" s="7" t="e">
        <f>VLOOKUP($B11,emp_info!$C$3:$U$100,8,FALSE)</f>
        <v>#N/A</v>
      </c>
      <c r="AA11" s="7" t="e">
        <f>VLOOKUP($B11,emp_info!$C$3:$U$100,11,FALSE)</f>
        <v>#N/A</v>
      </c>
      <c r="AB11" s="7" t="e">
        <f>VLOOKUP($B11,emp_info!$C$3:$U$100,12,FALSE)</f>
        <v>#N/A</v>
      </c>
      <c r="AC11" s="7" t="e">
        <f>VLOOKUP($B11,emp_info!$C$3:$U$100,13,FALSE)</f>
        <v>#N/A</v>
      </c>
      <c r="AD11" s="7" t="e">
        <f>VLOOKUP($B11,emp_info!$C$3:$U$100,14,FALSE)</f>
        <v>#N/A</v>
      </c>
      <c r="AE11" s="7" t="e">
        <f>VLOOKUP($B11,emp_info!$C$3:$U$100,15,FALSE)</f>
        <v>#N/A</v>
      </c>
      <c r="AF11" s="7" t="e">
        <f>VLOOKUP($B11,emp_info!$C$3:$U$100,16,FALSE)</f>
        <v>#N/A</v>
      </c>
      <c r="AG11" s="7" t="e">
        <f>VLOOKUP($B11,emp_info!$C$3:$U$100,17,FALSE)</f>
        <v>#N/A</v>
      </c>
      <c r="AH11" s="7" t="e">
        <f>VLOOKUP($B11,emp_info!$C$3:$U$100,18,FALSE)</f>
        <v>#N/A</v>
      </c>
      <c r="AI11" s="7" t="e">
        <f>VLOOKUP($G11,contragent!$B$3:$I$10,2,FALSE)</f>
        <v>#N/A</v>
      </c>
      <c r="AJ11" s="7" t="e">
        <f>VLOOKUP($G11,contragent!$B$3:$I$10,3,FALSE)</f>
        <v>#N/A</v>
      </c>
      <c r="AK11" s="7" t="e">
        <f>VLOOKUP($G11,contragent!$B$3:$I$10,4,FALSE)</f>
        <v>#N/A</v>
      </c>
      <c r="AL11" s="7" t="e">
        <f>VLOOKUP($G11,contragent!$B$3:$I$10,5,FALSE)</f>
        <v>#N/A</v>
      </c>
      <c r="AM11" s="7" t="e">
        <f>VLOOKUP($G11,contragent!$B$3:$I$10,6,FALSE)</f>
        <v>#N/A</v>
      </c>
      <c r="AN11" s="7" t="e">
        <f>VLOOKUP($G11,contragent!$B$3:$I$10,7,FALSE)</f>
        <v>#N/A</v>
      </c>
      <c r="AO11" s="7" t="e">
        <f>VLOOKUP($G11,contragent!$B$3:$I$10,8,FALSE)</f>
        <v>#N/A</v>
      </c>
    </row>
    <row r="12" spans="1:41" x14ac:dyDescent="0.25">
      <c r="A12" s="33">
        <f>DATE(A10,A8,A4)</f>
        <v>43417</v>
      </c>
      <c r="B12" s="9"/>
      <c r="C12" s="11">
        <f t="shared" si="0"/>
        <v>0</v>
      </c>
      <c r="D12" s="9">
        <f>IFERROR(VLOOKUP($B12,emp_info!$C$3:$U$100,19,FALSE),0)</f>
        <v>0</v>
      </c>
      <c r="E12" s="15">
        <v>0</v>
      </c>
      <c r="F12" s="9" t="e">
        <f>DATEDIF(VLOOKUP(B12,emp_info!$C$3:$U$100,6,FALSE),DATE($A$10,$A$8,DAY(VLOOKUP(B12,emp_info!$C$3:$U$100,6,FALSE))),"m")+_xlfn.IFNA(VLOOKUP(B12,emp_info!$C$3:$V$100,20,FALSE),0)</f>
        <v>#N/A</v>
      </c>
      <c r="G12" s="10"/>
      <c r="H12" s="11" t="str">
        <f t="shared" si="11"/>
        <v/>
      </c>
      <c r="I12" s="17">
        <f t="shared" si="1"/>
        <v>43404</v>
      </c>
      <c r="J12" s="21">
        <f t="shared" si="2"/>
        <v>43404</v>
      </c>
      <c r="K12" s="19">
        <f t="shared" si="3"/>
        <v>43374</v>
      </c>
      <c r="L12" s="19">
        <f t="shared" si="4"/>
        <v>43404</v>
      </c>
      <c r="M12" s="18">
        <f t="shared" si="5"/>
        <v>43374</v>
      </c>
      <c r="N12" s="18">
        <f t="shared" si="6"/>
        <v>43404</v>
      </c>
      <c r="O12" s="7" t="str">
        <f t="shared" si="7"/>
        <v xml:space="preserve">Ноль </v>
      </c>
      <c r="P12" s="7" t="str">
        <f t="shared" si="8"/>
        <v>Долларов</v>
      </c>
      <c r="Q12" s="25">
        <f t="shared" si="9"/>
        <v>43417</v>
      </c>
      <c r="R12" s="26">
        <f t="shared" si="9"/>
        <v>43417</v>
      </c>
      <c r="S12" s="26">
        <f t="shared" si="10"/>
        <v>43423</v>
      </c>
      <c r="T12" s="7" t="e">
        <f>VLOOKUP($B12,emp_info!$C$3:$U$100,2,FALSE)</f>
        <v>#N/A</v>
      </c>
      <c r="U12" s="7" t="e">
        <f>VLOOKUP($B12,emp_info!$C$3:$U$100,3,FALSE)</f>
        <v>#N/A</v>
      </c>
      <c r="V12" s="25" t="e">
        <f>VLOOKUP($B12,emp_info!$C$3:$U$100,4,FALSE)</f>
        <v>#N/A</v>
      </c>
      <c r="W12" s="7" t="e">
        <f>VLOOKUP($B12,emp_info!$C$3:$U$100,5,FALSE)</f>
        <v>#N/A</v>
      </c>
      <c r="X12" s="25" t="e">
        <f>VLOOKUP($B12,emp_info!$C$3:$U$100,6,FALSE)</f>
        <v>#N/A</v>
      </c>
      <c r="Y12" s="7" t="e">
        <f>VLOOKUP($B12,emp_info!$C$3:$U$100,7,FALSE)</f>
        <v>#N/A</v>
      </c>
      <c r="Z12" s="7" t="e">
        <f>VLOOKUP($B12,emp_info!$C$3:$U$100,8,FALSE)</f>
        <v>#N/A</v>
      </c>
      <c r="AA12" s="7" t="e">
        <f>VLOOKUP($B12,emp_info!$C$3:$U$100,11,FALSE)</f>
        <v>#N/A</v>
      </c>
      <c r="AB12" s="7" t="e">
        <f>VLOOKUP($B12,emp_info!$C$3:$U$100,12,FALSE)</f>
        <v>#N/A</v>
      </c>
      <c r="AC12" s="7" t="e">
        <f>VLOOKUP($B12,emp_info!$C$3:$U$100,13,FALSE)</f>
        <v>#N/A</v>
      </c>
      <c r="AD12" s="7" t="e">
        <f>VLOOKUP($B12,emp_info!$C$3:$U$100,14,FALSE)</f>
        <v>#N/A</v>
      </c>
      <c r="AE12" s="7" t="e">
        <f>VLOOKUP($B12,emp_info!$C$3:$U$100,15,FALSE)</f>
        <v>#N/A</v>
      </c>
      <c r="AF12" s="7" t="e">
        <f>VLOOKUP($B12,emp_info!$C$3:$U$100,16,FALSE)</f>
        <v>#N/A</v>
      </c>
      <c r="AG12" s="7" t="e">
        <f>VLOOKUP($B12,emp_info!$C$3:$U$100,17,FALSE)</f>
        <v>#N/A</v>
      </c>
      <c r="AH12" s="7" t="e">
        <f>VLOOKUP($B12,emp_info!$C$3:$U$100,18,FALSE)</f>
        <v>#N/A</v>
      </c>
      <c r="AI12" s="7" t="e">
        <f>VLOOKUP($G12,contragent!$B$3:$I$10,2,FALSE)</f>
        <v>#N/A</v>
      </c>
      <c r="AJ12" s="7" t="e">
        <f>VLOOKUP($G12,contragent!$B$3:$I$10,3,FALSE)</f>
        <v>#N/A</v>
      </c>
      <c r="AK12" s="7" t="e">
        <f>VLOOKUP($G12,contragent!$B$3:$I$10,4,FALSE)</f>
        <v>#N/A</v>
      </c>
      <c r="AL12" s="7" t="e">
        <f>VLOOKUP($G12,contragent!$B$3:$I$10,5,FALSE)</f>
        <v>#N/A</v>
      </c>
      <c r="AM12" s="7" t="e">
        <f>VLOOKUP($G12,contragent!$B$3:$I$10,6,FALSE)</f>
        <v>#N/A</v>
      </c>
      <c r="AN12" s="7" t="e">
        <f>VLOOKUP($G12,contragent!$B$3:$I$10,7,FALSE)</f>
        <v>#N/A</v>
      </c>
      <c r="AO12" s="7" t="e">
        <f>VLOOKUP($G12,contragent!$B$3:$I$10,8,FALSE)</f>
        <v>#N/A</v>
      </c>
    </row>
    <row r="13" spans="1:41" x14ac:dyDescent="0.25">
      <c r="A13" s="32" t="s">
        <v>69</v>
      </c>
      <c r="B13" s="9"/>
      <c r="C13" s="11">
        <f t="shared" si="0"/>
        <v>0</v>
      </c>
      <c r="D13" s="9">
        <f>IFERROR(VLOOKUP($B13,emp_info!$C$3:$U$100,19,FALSE),0)</f>
        <v>0</v>
      </c>
      <c r="E13" s="15">
        <v>0</v>
      </c>
      <c r="F13" s="9" t="e">
        <f>DATEDIF(VLOOKUP(B13,emp_info!$C$3:$U$100,6,FALSE),DATE($A$10,$A$8,DAY(VLOOKUP(B13,emp_info!$C$3:$U$100,6,FALSE))),"m")+_xlfn.IFNA(VLOOKUP(B13,emp_info!$C$3:$V$100,20,FALSE),0)</f>
        <v>#N/A</v>
      </c>
      <c r="G13" s="10"/>
      <c r="H13" s="11" t="str">
        <f t="shared" si="11"/>
        <v/>
      </c>
      <c r="I13" s="17">
        <f t="shared" si="1"/>
        <v>43404</v>
      </c>
      <c r="J13" s="21">
        <f t="shared" si="2"/>
        <v>43404</v>
      </c>
      <c r="K13" s="19">
        <f t="shared" si="3"/>
        <v>43374</v>
      </c>
      <c r="L13" s="19">
        <f t="shared" si="4"/>
        <v>43404</v>
      </c>
      <c r="M13" s="18">
        <f t="shared" si="5"/>
        <v>43374</v>
      </c>
      <c r="N13" s="18">
        <f t="shared" si="6"/>
        <v>43404</v>
      </c>
      <c r="O13" s="7" t="str">
        <f t="shared" si="7"/>
        <v xml:space="preserve">Ноль </v>
      </c>
      <c r="P13" s="7" t="str">
        <f t="shared" si="8"/>
        <v>Долларов</v>
      </c>
      <c r="Q13" s="25">
        <f t="shared" si="9"/>
        <v>43417</v>
      </c>
      <c r="R13" s="26">
        <f t="shared" si="9"/>
        <v>43417</v>
      </c>
      <c r="S13" s="26">
        <f t="shared" si="10"/>
        <v>43423</v>
      </c>
      <c r="T13" s="7" t="e">
        <f>VLOOKUP($B13,emp_info!$C$3:$U$100,2,FALSE)</f>
        <v>#N/A</v>
      </c>
      <c r="U13" s="7" t="e">
        <f>VLOOKUP($B13,emp_info!$C$3:$U$100,3,FALSE)</f>
        <v>#N/A</v>
      </c>
      <c r="V13" s="25" t="e">
        <f>VLOOKUP($B13,emp_info!$C$3:$U$100,4,FALSE)</f>
        <v>#N/A</v>
      </c>
      <c r="W13" s="7" t="e">
        <f>VLOOKUP($B13,emp_info!$C$3:$U$100,5,FALSE)</f>
        <v>#N/A</v>
      </c>
      <c r="X13" s="25" t="e">
        <f>VLOOKUP($B13,emp_info!$C$3:$U$100,6,FALSE)</f>
        <v>#N/A</v>
      </c>
      <c r="Y13" s="7" t="e">
        <f>VLOOKUP($B13,emp_info!$C$3:$U$100,7,FALSE)</f>
        <v>#N/A</v>
      </c>
      <c r="Z13" s="7" t="e">
        <f>VLOOKUP($B13,emp_info!$C$3:$U$100,8,FALSE)</f>
        <v>#N/A</v>
      </c>
      <c r="AA13" s="7" t="e">
        <f>VLOOKUP($B13,emp_info!$C$3:$U$100,11,FALSE)</f>
        <v>#N/A</v>
      </c>
      <c r="AB13" s="7" t="e">
        <f>VLOOKUP($B13,emp_info!$C$3:$U$100,12,FALSE)</f>
        <v>#N/A</v>
      </c>
      <c r="AC13" s="7" t="e">
        <f>VLOOKUP($B13,emp_info!$C$3:$U$100,13,FALSE)</f>
        <v>#N/A</v>
      </c>
      <c r="AD13" s="7" t="e">
        <f>VLOOKUP($B13,emp_info!$C$3:$U$100,14,FALSE)</f>
        <v>#N/A</v>
      </c>
      <c r="AE13" s="7" t="e">
        <f>VLOOKUP($B13,emp_info!$C$3:$U$100,15,FALSE)</f>
        <v>#N/A</v>
      </c>
      <c r="AF13" s="7" t="e">
        <f>VLOOKUP($B13,emp_info!$C$3:$U$100,16,FALSE)</f>
        <v>#N/A</v>
      </c>
      <c r="AG13" s="7" t="e">
        <f>VLOOKUP($B13,emp_info!$C$3:$U$100,17,FALSE)</f>
        <v>#N/A</v>
      </c>
      <c r="AH13" s="7" t="e">
        <f>VLOOKUP($B13,emp_info!$C$3:$U$100,18,FALSE)</f>
        <v>#N/A</v>
      </c>
      <c r="AI13" s="7" t="e">
        <f>VLOOKUP($G13,contragent!$B$3:$I$10,2,FALSE)</f>
        <v>#N/A</v>
      </c>
      <c r="AJ13" s="7" t="e">
        <f>VLOOKUP($G13,contragent!$B$3:$I$10,3,FALSE)</f>
        <v>#N/A</v>
      </c>
      <c r="AK13" s="7" t="e">
        <f>VLOOKUP($G13,contragent!$B$3:$I$10,4,FALSE)</f>
        <v>#N/A</v>
      </c>
      <c r="AL13" s="7" t="e">
        <f>VLOOKUP($G13,contragent!$B$3:$I$10,5,FALSE)</f>
        <v>#N/A</v>
      </c>
      <c r="AM13" s="7" t="e">
        <f>VLOOKUP($G13,contragent!$B$3:$I$10,6,FALSE)</f>
        <v>#N/A</v>
      </c>
      <c r="AN13" s="7" t="e">
        <f>VLOOKUP($G13,contragent!$B$3:$I$10,7,FALSE)</f>
        <v>#N/A</v>
      </c>
      <c r="AO13" s="7" t="e">
        <f>VLOOKUP($G13,contragent!$B$3:$I$10,8,FALSE)</f>
        <v>#N/A</v>
      </c>
    </row>
    <row r="14" spans="1:41" x14ac:dyDescent="0.25">
      <c r="A14" s="33">
        <f>DATE(A10,A8,A6)</f>
        <v>43423</v>
      </c>
      <c r="B14" s="9"/>
      <c r="C14" s="11">
        <f t="shared" si="0"/>
        <v>0</v>
      </c>
      <c r="D14" s="9">
        <f>IFERROR(VLOOKUP($B14,emp_info!$C$3:$U$100,19,FALSE),0)</f>
        <v>0</v>
      </c>
      <c r="E14" s="15">
        <v>0</v>
      </c>
      <c r="F14" s="9" t="e">
        <f>DATEDIF(VLOOKUP(B14,emp_info!$C$3:$U$100,6,FALSE),DATE($A$10,$A$8,DAY(VLOOKUP(B14,emp_info!$C$3:$U$100,6,FALSE))),"m")+_xlfn.IFNA(VLOOKUP(B14,emp_info!$C$3:$V$100,20,FALSE),0)</f>
        <v>#N/A</v>
      </c>
      <c r="G14" s="10"/>
      <c r="H14" s="11" t="str">
        <f t="shared" si="11"/>
        <v/>
      </c>
      <c r="I14" s="17">
        <f t="shared" si="1"/>
        <v>43404</v>
      </c>
      <c r="J14" s="21">
        <f t="shared" si="2"/>
        <v>43404</v>
      </c>
      <c r="K14" s="19">
        <f t="shared" si="3"/>
        <v>43374</v>
      </c>
      <c r="L14" s="19">
        <f t="shared" si="4"/>
        <v>43404</v>
      </c>
      <c r="M14" s="18">
        <f t="shared" si="5"/>
        <v>43374</v>
      </c>
      <c r="N14" s="18">
        <f t="shared" si="6"/>
        <v>43404</v>
      </c>
      <c r="O14" s="7" t="str">
        <f t="shared" si="7"/>
        <v xml:space="preserve">Ноль </v>
      </c>
      <c r="P14" s="7" t="str">
        <f t="shared" si="8"/>
        <v>Долларов</v>
      </c>
      <c r="Q14" s="25">
        <f t="shared" si="9"/>
        <v>43417</v>
      </c>
      <c r="R14" s="26">
        <f t="shared" si="9"/>
        <v>43417</v>
      </c>
      <c r="S14" s="26">
        <f t="shared" si="10"/>
        <v>43423</v>
      </c>
      <c r="T14" s="7" t="e">
        <f>VLOOKUP($B14,emp_info!$C$3:$U$100,2,FALSE)</f>
        <v>#N/A</v>
      </c>
      <c r="U14" s="7" t="e">
        <f>VLOOKUP($B14,emp_info!$C$3:$U$100,3,FALSE)</f>
        <v>#N/A</v>
      </c>
      <c r="V14" s="25" t="e">
        <f>VLOOKUP($B14,emp_info!$C$3:$U$100,4,FALSE)</f>
        <v>#N/A</v>
      </c>
      <c r="W14" s="7" t="e">
        <f>VLOOKUP($B14,emp_info!$C$3:$U$100,5,FALSE)</f>
        <v>#N/A</v>
      </c>
      <c r="X14" s="25" t="e">
        <f>VLOOKUP($B14,emp_info!$C$3:$U$100,6,FALSE)</f>
        <v>#N/A</v>
      </c>
      <c r="Y14" s="7" t="e">
        <f>VLOOKUP($B14,emp_info!$C$3:$U$100,7,FALSE)</f>
        <v>#N/A</v>
      </c>
      <c r="Z14" s="7" t="e">
        <f>VLOOKUP($B14,emp_info!$C$3:$U$100,8,FALSE)</f>
        <v>#N/A</v>
      </c>
      <c r="AA14" s="7" t="e">
        <f>VLOOKUP($B14,emp_info!$C$3:$U$100,11,FALSE)</f>
        <v>#N/A</v>
      </c>
      <c r="AB14" s="7" t="e">
        <f>VLOOKUP($B14,emp_info!$C$3:$U$100,12,FALSE)</f>
        <v>#N/A</v>
      </c>
      <c r="AC14" s="7" t="e">
        <f>VLOOKUP($B14,emp_info!$C$3:$U$100,13,FALSE)</f>
        <v>#N/A</v>
      </c>
      <c r="AD14" s="7" t="e">
        <f>VLOOKUP($B14,emp_info!$C$3:$U$100,14,FALSE)</f>
        <v>#N/A</v>
      </c>
      <c r="AE14" s="7" t="e">
        <f>VLOOKUP($B14,emp_info!$C$3:$U$100,15,FALSE)</f>
        <v>#N/A</v>
      </c>
      <c r="AF14" s="7" t="e">
        <f>VLOOKUP($B14,emp_info!$C$3:$U$100,16,FALSE)</f>
        <v>#N/A</v>
      </c>
      <c r="AG14" s="7" t="e">
        <f>VLOOKUP($B14,emp_info!$C$3:$U$100,17,FALSE)</f>
        <v>#N/A</v>
      </c>
      <c r="AH14" s="7" t="e">
        <f>VLOOKUP($B14,emp_info!$C$3:$U$100,18,FALSE)</f>
        <v>#N/A</v>
      </c>
      <c r="AI14" s="7" t="e">
        <f>VLOOKUP($G14,contragent!$B$3:$I$10,2,FALSE)</f>
        <v>#N/A</v>
      </c>
      <c r="AJ14" s="7" t="e">
        <f>VLOOKUP($G14,contragent!$B$3:$I$10,3,FALSE)</f>
        <v>#N/A</v>
      </c>
      <c r="AK14" s="7" t="e">
        <f>VLOOKUP($G14,contragent!$B$3:$I$10,4,FALSE)</f>
        <v>#N/A</v>
      </c>
      <c r="AL14" s="7" t="e">
        <f>VLOOKUP($G14,contragent!$B$3:$I$10,5,FALSE)</f>
        <v>#N/A</v>
      </c>
      <c r="AM14" s="7" t="e">
        <f>VLOOKUP($G14,contragent!$B$3:$I$10,6,FALSE)</f>
        <v>#N/A</v>
      </c>
      <c r="AN14" s="7" t="e">
        <f>VLOOKUP($G14,contragent!$B$3:$I$10,7,FALSE)</f>
        <v>#N/A</v>
      </c>
      <c r="AO14" s="7" t="e">
        <f>VLOOKUP($G14,contragent!$B$3:$I$10,8,FALSE)</f>
        <v>#N/A</v>
      </c>
    </row>
    <row r="15" spans="1:41" x14ac:dyDescent="0.25">
      <c r="B15" s="9"/>
      <c r="C15" s="11">
        <f t="shared" si="0"/>
        <v>0</v>
      </c>
      <c r="D15" s="9">
        <f>IFERROR(VLOOKUP($B15,emp_info!$C$3:$U$100,19,FALSE),0)</f>
        <v>0</v>
      </c>
      <c r="E15" s="15">
        <v>0</v>
      </c>
      <c r="F15" s="9" t="e">
        <f>DATEDIF(VLOOKUP(B15,emp_info!$C$3:$U$100,6,FALSE),DATE($A$10,$A$8,DAY(VLOOKUP(B15,emp_info!$C$3:$U$100,6,FALSE))),"m")+_xlfn.IFNA(VLOOKUP(B15,emp_info!$C$3:$V$100,20,FALSE),0)</f>
        <v>#N/A</v>
      </c>
      <c r="G15" s="10"/>
      <c r="H15" s="11" t="str">
        <f t="shared" si="11"/>
        <v/>
      </c>
      <c r="I15" s="17">
        <f t="shared" si="1"/>
        <v>43404</v>
      </c>
      <c r="J15" s="21">
        <f t="shared" si="2"/>
        <v>43404</v>
      </c>
      <c r="K15" s="19">
        <f t="shared" si="3"/>
        <v>43374</v>
      </c>
      <c r="L15" s="19">
        <f t="shared" si="4"/>
        <v>43404</v>
      </c>
      <c r="M15" s="18">
        <f t="shared" si="5"/>
        <v>43374</v>
      </c>
      <c r="N15" s="18">
        <f t="shared" si="6"/>
        <v>43404</v>
      </c>
      <c r="O15" s="7" t="str">
        <f t="shared" si="7"/>
        <v xml:space="preserve">Ноль </v>
      </c>
      <c r="P15" s="7" t="str">
        <f t="shared" si="8"/>
        <v>Долларов</v>
      </c>
      <c r="Q15" s="25">
        <f t="shared" si="9"/>
        <v>43417</v>
      </c>
      <c r="R15" s="26">
        <f t="shared" si="9"/>
        <v>43417</v>
      </c>
      <c r="S15" s="26">
        <f t="shared" si="10"/>
        <v>43423</v>
      </c>
      <c r="T15" s="7" t="e">
        <f>VLOOKUP($B15,emp_info!$C$3:$U$100,2,FALSE)</f>
        <v>#N/A</v>
      </c>
      <c r="U15" s="7" t="e">
        <f>VLOOKUP($B15,emp_info!$C$3:$U$100,3,FALSE)</f>
        <v>#N/A</v>
      </c>
      <c r="V15" s="25" t="e">
        <f>VLOOKUP($B15,emp_info!$C$3:$U$100,4,FALSE)</f>
        <v>#N/A</v>
      </c>
      <c r="W15" s="7" t="e">
        <f>VLOOKUP($B15,emp_info!$C$3:$U$100,5,FALSE)</f>
        <v>#N/A</v>
      </c>
      <c r="X15" s="25" t="e">
        <f>VLOOKUP($B15,emp_info!$C$3:$U$100,6,FALSE)</f>
        <v>#N/A</v>
      </c>
      <c r="Y15" s="7" t="e">
        <f>VLOOKUP($B15,emp_info!$C$3:$U$100,7,FALSE)</f>
        <v>#N/A</v>
      </c>
      <c r="Z15" s="7" t="e">
        <f>VLOOKUP($B15,emp_info!$C$3:$U$100,8,FALSE)</f>
        <v>#N/A</v>
      </c>
      <c r="AA15" s="7" t="e">
        <f>VLOOKUP($B15,emp_info!$C$3:$U$100,11,FALSE)</f>
        <v>#N/A</v>
      </c>
      <c r="AB15" s="7" t="e">
        <f>VLOOKUP($B15,emp_info!$C$3:$U$100,12,FALSE)</f>
        <v>#N/A</v>
      </c>
      <c r="AC15" s="7" t="e">
        <f>VLOOKUP($B15,emp_info!$C$3:$U$100,13,FALSE)</f>
        <v>#N/A</v>
      </c>
      <c r="AD15" s="7" t="e">
        <f>VLOOKUP($B15,emp_info!$C$3:$U$100,14,FALSE)</f>
        <v>#N/A</v>
      </c>
      <c r="AE15" s="7" t="e">
        <f>VLOOKUP($B15,emp_info!$C$3:$U$100,15,FALSE)</f>
        <v>#N/A</v>
      </c>
      <c r="AF15" s="7" t="e">
        <f>VLOOKUP($B15,emp_info!$C$3:$U$100,16,FALSE)</f>
        <v>#N/A</v>
      </c>
      <c r="AG15" s="7" t="e">
        <f>VLOOKUP($B15,emp_info!$C$3:$U$100,17,FALSE)</f>
        <v>#N/A</v>
      </c>
      <c r="AH15" s="7" t="e">
        <f>VLOOKUP($B15,emp_info!$C$3:$U$100,18,FALSE)</f>
        <v>#N/A</v>
      </c>
      <c r="AI15" s="7" t="e">
        <f>VLOOKUP($G15,contragent!$B$3:$I$10,2,FALSE)</f>
        <v>#N/A</v>
      </c>
      <c r="AJ15" s="7" t="e">
        <f>VLOOKUP($G15,contragent!$B$3:$I$10,3,FALSE)</f>
        <v>#N/A</v>
      </c>
      <c r="AK15" s="7" t="e">
        <f>VLOOKUP($G15,contragent!$B$3:$I$10,4,FALSE)</f>
        <v>#N/A</v>
      </c>
      <c r="AL15" s="7" t="e">
        <f>VLOOKUP($G15,contragent!$B$3:$I$10,5,FALSE)</f>
        <v>#N/A</v>
      </c>
      <c r="AM15" s="7" t="e">
        <f>VLOOKUP($G15,contragent!$B$3:$I$10,6,FALSE)</f>
        <v>#N/A</v>
      </c>
      <c r="AN15" s="7" t="e">
        <f>VLOOKUP($G15,contragent!$B$3:$I$10,7,FALSE)</f>
        <v>#N/A</v>
      </c>
      <c r="AO15" s="7" t="e">
        <f>VLOOKUP($G15,contragent!$B$3:$I$10,8,FALSE)</f>
        <v>#N/A</v>
      </c>
    </row>
    <row r="16" spans="1:41" x14ac:dyDescent="0.25">
      <c r="B16" s="9"/>
      <c r="C16" s="11">
        <f t="shared" si="0"/>
        <v>0</v>
      </c>
      <c r="D16" s="9">
        <f>IFERROR(VLOOKUP($B16,emp_info!$C$3:$U$100,19,FALSE),0)</f>
        <v>0</v>
      </c>
      <c r="E16" s="15">
        <v>0</v>
      </c>
      <c r="F16" s="9" t="e">
        <f>DATEDIF(VLOOKUP(B16,emp_info!$C$3:$U$100,6,FALSE),DATE($A$10,$A$8,DAY(VLOOKUP(B16,emp_info!$C$3:$U$100,6,FALSE))),"m")+_xlfn.IFNA(VLOOKUP(B16,emp_info!$C$3:$V$100,20,FALSE),0)</f>
        <v>#N/A</v>
      </c>
      <c r="G16" s="10"/>
      <c r="H16" s="11" t="str">
        <f t="shared" si="11"/>
        <v/>
      </c>
      <c r="I16" s="17">
        <f t="shared" si="1"/>
        <v>43404</v>
      </c>
      <c r="J16" s="21">
        <f t="shared" si="2"/>
        <v>43404</v>
      </c>
      <c r="K16" s="19">
        <f t="shared" si="3"/>
        <v>43374</v>
      </c>
      <c r="L16" s="19">
        <f t="shared" si="4"/>
        <v>43404</v>
      </c>
      <c r="M16" s="18">
        <f t="shared" si="5"/>
        <v>43374</v>
      </c>
      <c r="N16" s="18">
        <f t="shared" si="6"/>
        <v>43404</v>
      </c>
      <c r="O16" s="7" t="str">
        <f t="shared" si="7"/>
        <v xml:space="preserve">Ноль </v>
      </c>
      <c r="P16" s="7" t="str">
        <f t="shared" si="8"/>
        <v>Долларов</v>
      </c>
      <c r="Q16" s="25">
        <f t="shared" si="9"/>
        <v>43417</v>
      </c>
      <c r="R16" s="26">
        <f t="shared" si="9"/>
        <v>43417</v>
      </c>
      <c r="S16" s="26">
        <f t="shared" si="10"/>
        <v>43423</v>
      </c>
      <c r="T16" s="7" t="e">
        <f>VLOOKUP($B16,emp_info!$C$3:$U$100,2,FALSE)</f>
        <v>#N/A</v>
      </c>
      <c r="U16" s="7" t="e">
        <f>VLOOKUP($B16,emp_info!$C$3:$U$100,3,FALSE)</f>
        <v>#N/A</v>
      </c>
      <c r="V16" s="25" t="e">
        <f>VLOOKUP($B16,emp_info!$C$3:$U$100,4,FALSE)</f>
        <v>#N/A</v>
      </c>
      <c r="W16" s="7" t="e">
        <f>VLOOKUP($B16,emp_info!$C$3:$U$100,5,FALSE)</f>
        <v>#N/A</v>
      </c>
      <c r="X16" s="25" t="e">
        <f>VLOOKUP($B16,emp_info!$C$3:$U$100,6,FALSE)</f>
        <v>#N/A</v>
      </c>
      <c r="Y16" s="7" t="e">
        <f>VLOOKUP($B16,emp_info!$C$3:$U$100,7,FALSE)</f>
        <v>#N/A</v>
      </c>
      <c r="Z16" s="7" t="e">
        <f>VLOOKUP($B16,emp_info!$C$3:$U$100,8,FALSE)</f>
        <v>#N/A</v>
      </c>
      <c r="AA16" s="7" t="e">
        <f>VLOOKUP($B16,emp_info!$C$3:$U$100,11,FALSE)</f>
        <v>#N/A</v>
      </c>
      <c r="AB16" s="7" t="e">
        <f>VLOOKUP($B16,emp_info!$C$3:$U$100,12,FALSE)</f>
        <v>#N/A</v>
      </c>
      <c r="AC16" s="7" t="e">
        <f>VLOOKUP($B16,emp_info!$C$3:$U$100,13,FALSE)</f>
        <v>#N/A</v>
      </c>
      <c r="AD16" s="7" t="e">
        <f>VLOOKUP($B16,emp_info!$C$3:$U$100,14,FALSE)</f>
        <v>#N/A</v>
      </c>
      <c r="AE16" s="7" t="e">
        <f>VLOOKUP($B16,emp_info!$C$3:$U$100,15,FALSE)</f>
        <v>#N/A</v>
      </c>
      <c r="AF16" s="7" t="e">
        <f>VLOOKUP($B16,emp_info!$C$3:$U$100,16,FALSE)</f>
        <v>#N/A</v>
      </c>
      <c r="AG16" s="7" t="e">
        <f>VLOOKUP($B16,emp_info!$C$3:$U$100,17,FALSE)</f>
        <v>#N/A</v>
      </c>
      <c r="AH16" s="7" t="e">
        <f>VLOOKUP($B16,emp_info!$C$3:$U$100,18,FALSE)</f>
        <v>#N/A</v>
      </c>
      <c r="AI16" s="7" t="e">
        <f>VLOOKUP($G16,contragent!$B$3:$I$10,2,FALSE)</f>
        <v>#N/A</v>
      </c>
      <c r="AJ16" s="7" t="e">
        <f>VLOOKUP($G16,contragent!$B$3:$I$10,3,FALSE)</f>
        <v>#N/A</v>
      </c>
      <c r="AK16" s="7" t="e">
        <f>VLOOKUP($G16,contragent!$B$3:$I$10,4,FALSE)</f>
        <v>#N/A</v>
      </c>
      <c r="AL16" s="7" t="e">
        <f>VLOOKUP($G16,contragent!$B$3:$I$10,5,FALSE)</f>
        <v>#N/A</v>
      </c>
      <c r="AM16" s="7" t="e">
        <f>VLOOKUP($G16,contragent!$B$3:$I$10,6,FALSE)</f>
        <v>#N/A</v>
      </c>
      <c r="AN16" s="7" t="e">
        <f>VLOOKUP($G16,contragent!$B$3:$I$10,7,FALSE)</f>
        <v>#N/A</v>
      </c>
      <c r="AO16" s="7" t="e">
        <f>VLOOKUP($G16,contragent!$B$3:$I$10,8,FALSE)</f>
        <v>#N/A</v>
      </c>
    </row>
    <row r="17" spans="2:41" x14ac:dyDescent="0.25">
      <c r="B17" s="9"/>
      <c r="C17" s="11">
        <f t="shared" si="0"/>
        <v>0</v>
      </c>
      <c r="D17" s="9">
        <f>IFERROR(VLOOKUP($B17,emp_info!$C$3:$U$100,19,FALSE),0)</f>
        <v>0</v>
      </c>
      <c r="E17" s="15">
        <v>0</v>
      </c>
      <c r="F17" s="9" t="e">
        <f>DATEDIF(VLOOKUP(B17,emp_info!$C$3:$U$100,6,FALSE),DATE($A$10,$A$8,DAY(VLOOKUP(B17,emp_info!$C$3:$U$100,6,FALSE))),"m")+_xlfn.IFNA(VLOOKUP(B17,emp_info!$C$3:$V$100,20,FALSE),0)</f>
        <v>#N/A</v>
      </c>
      <c r="G17" s="10"/>
      <c r="H17" s="11" t="str">
        <f t="shared" si="11"/>
        <v/>
      </c>
      <c r="I17" s="17">
        <f t="shared" si="1"/>
        <v>43404</v>
      </c>
      <c r="J17" s="21">
        <f t="shared" si="2"/>
        <v>43404</v>
      </c>
      <c r="K17" s="19">
        <f t="shared" si="3"/>
        <v>43374</v>
      </c>
      <c r="L17" s="19">
        <f t="shared" si="4"/>
        <v>43404</v>
      </c>
      <c r="M17" s="18">
        <f t="shared" si="5"/>
        <v>43374</v>
      </c>
      <c r="N17" s="18">
        <f t="shared" si="6"/>
        <v>43404</v>
      </c>
      <c r="O17" s="7" t="str">
        <f t="shared" si="7"/>
        <v xml:space="preserve">Ноль </v>
      </c>
      <c r="P17" s="7" t="str">
        <f t="shared" si="8"/>
        <v>Долларов</v>
      </c>
      <c r="Q17" s="25">
        <f t="shared" si="9"/>
        <v>43417</v>
      </c>
      <c r="R17" s="26">
        <f t="shared" si="9"/>
        <v>43417</v>
      </c>
      <c r="S17" s="26">
        <f t="shared" si="10"/>
        <v>43423</v>
      </c>
      <c r="T17" s="7" t="e">
        <f>VLOOKUP($B17,emp_info!$C$3:$U$100,2,FALSE)</f>
        <v>#N/A</v>
      </c>
      <c r="U17" s="7" t="e">
        <f>VLOOKUP($B17,emp_info!$C$3:$U$100,3,FALSE)</f>
        <v>#N/A</v>
      </c>
      <c r="V17" s="25" t="e">
        <f>VLOOKUP($B17,emp_info!$C$3:$U$100,4,FALSE)</f>
        <v>#N/A</v>
      </c>
      <c r="W17" s="7" t="e">
        <f>VLOOKUP($B17,emp_info!$C$3:$U$100,5,FALSE)</f>
        <v>#N/A</v>
      </c>
      <c r="X17" s="25" t="e">
        <f>VLOOKUP($B17,emp_info!$C$3:$U$100,6,FALSE)</f>
        <v>#N/A</v>
      </c>
      <c r="Y17" s="7" t="e">
        <f>VLOOKUP($B17,emp_info!$C$3:$U$100,7,FALSE)</f>
        <v>#N/A</v>
      </c>
      <c r="Z17" s="7" t="e">
        <f>VLOOKUP($B17,emp_info!$C$3:$U$100,8,FALSE)</f>
        <v>#N/A</v>
      </c>
      <c r="AA17" s="7" t="e">
        <f>VLOOKUP($B17,emp_info!$C$3:$U$100,11,FALSE)</f>
        <v>#N/A</v>
      </c>
      <c r="AB17" s="7" t="e">
        <f>VLOOKUP($B17,emp_info!$C$3:$U$100,12,FALSE)</f>
        <v>#N/A</v>
      </c>
      <c r="AC17" s="7" t="e">
        <f>VLOOKUP($B17,emp_info!$C$3:$U$100,13,FALSE)</f>
        <v>#N/A</v>
      </c>
      <c r="AD17" s="7" t="e">
        <f>VLOOKUP($B17,emp_info!$C$3:$U$100,14,FALSE)</f>
        <v>#N/A</v>
      </c>
      <c r="AE17" s="7" t="e">
        <f>VLOOKUP($B17,emp_info!$C$3:$U$100,15,FALSE)</f>
        <v>#N/A</v>
      </c>
      <c r="AF17" s="7" t="e">
        <f>VLOOKUP($B17,emp_info!$C$3:$U$100,16,FALSE)</f>
        <v>#N/A</v>
      </c>
      <c r="AG17" s="7" t="e">
        <f>VLOOKUP($B17,emp_info!$C$3:$U$100,17,FALSE)</f>
        <v>#N/A</v>
      </c>
      <c r="AH17" s="7" t="e">
        <f>VLOOKUP($B17,emp_info!$C$3:$U$100,18,FALSE)</f>
        <v>#N/A</v>
      </c>
      <c r="AI17" s="7" t="e">
        <f>VLOOKUP($G17,contragent!$B$3:$I$10,2,FALSE)</f>
        <v>#N/A</v>
      </c>
      <c r="AJ17" s="7" t="e">
        <f>VLOOKUP($G17,contragent!$B$3:$I$10,3,FALSE)</f>
        <v>#N/A</v>
      </c>
      <c r="AK17" s="7" t="e">
        <f>VLOOKUP($G17,contragent!$B$3:$I$10,4,FALSE)</f>
        <v>#N/A</v>
      </c>
      <c r="AL17" s="7" t="e">
        <f>VLOOKUP($G17,contragent!$B$3:$I$10,5,FALSE)</f>
        <v>#N/A</v>
      </c>
      <c r="AM17" s="7" t="e">
        <f>VLOOKUP($G17,contragent!$B$3:$I$10,6,FALSE)</f>
        <v>#N/A</v>
      </c>
      <c r="AN17" s="7" t="e">
        <f>VLOOKUP($G17,contragent!$B$3:$I$10,7,FALSE)</f>
        <v>#N/A</v>
      </c>
      <c r="AO17" s="7" t="e">
        <f>VLOOKUP($G17,contragent!$B$3:$I$10,8,FALSE)</f>
        <v>#N/A</v>
      </c>
    </row>
    <row r="18" spans="2:41" x14ac:dyDescent="0.25">
      <c r="B18" s="9"/>
      <c r="C18" s="11">
        <f t="shared" si="0"/>
        <v>0</v>
      </c>
      <c r="D18" s="9">
        <f>IFERROR(VLOOKUP($B18,emp_info!$C$3:$U$100,19,FALSE),0)</f>
        <v>0</v>
      </c>
      <c r="E18" s="15">
        <v>0</v>
      </c>
      <c r="F18" s="9" t="e">
        <f>DATEDIF(VLOOKUP(B18,emp_info!$C$3:$U$100,6,FALSE),DATE($A$10,$A$8,DAY(VLOOKUP(B18,emp_info!$C$3:$U$100,6,FALSE))),"m")+_xlfn.IFNA(VLOOKUP(B18,emp_info!$C$3:$V$100,20,FALSE),0)</f>
        <v>#N/A</v>
      </c>
      <c r="G18" s="10"/>
      <c r="H18" s="11" t="str">
        <f t="shared" si="11"/>
        <v/>
      </c>
      <c r="I18" s="17">
        <f t="shared" si="1"/>
        <v>43404</v>
      </c>
      <c r="J18" s="21">
        <f t="shared" si="2"/>
        <v>43404</v>
      </c>
      <c r="K18" s="19">
        <f t="shared" si="3"/>
        <v>43374</v>
      </c>
      <c r="L18" s="19">
        <f t="shared" si="4"/>
        <v>43404</v>
      </c>
      <c r="M18" s="18">
        <f t="shared" si="5"/>
        <v>43374</v>
      </c>
      <c r="N18" s="18">
        <f t="shared" si="6"/>
        <v>43404</v>
      </c>
      <c r="O18" s="7" t="str">
        <f t="shared" si="7"/>
        <v xml:space="preserve">Ноль </v>
      </c>
      <c r="P18" s="7" t="str">
        <f t="shared" si="8"/>
        <v>Долларов</v>
      </c>
      <c r="Q18" s="25">
        <f t="shared" si="9"/>
        <v>43417</v>
      </c>
      <c r="R18" s="26">
        <f t="shared" si="9"/>
        <v>43417</v>
      </c>
      <c r="S18" s="26">
        <f t="shared" si="10"/>
        <v>43423</v>
      </c>
      <c r="T18" s="7" t="e">
        <f>VLOOKUP($B18,emp_info!$C$3:$U$100,2,FALSE)</f>
        <v>#N/A</v>
      </c>
      <c r="U18" s="7" t="e">
        <f>VLOOKUP($B18,emp_info!$C$3:$U$100,3,FALSE)</f>
        <v>#N/A</v>
      </c>
      <c r="V18" s="25" t="e">
        <f>VLOOKUP($B18,emp_info!$C$3:$U$100,4,FALSE)</f>
        <v>#N/A</v>
      </c>
      <c r="W18" s="7" t="e">
        <f>VLOOKUP($B18,emp_info!$C$3:$U$100,5,FALSE)</f>
        <v>#N/A</v>
      </c>
      <c r="X18" s="25" t="e">
        <f>VLOOKUP($B18,emp_info!$C$3:$U$100,6,FALSE)</f>
        <v>#N/A</v>
      </c>
      <c r="Y18" s="7" t="e">
        <f>VLOOKUP($B18,emp_info!$C$3:$U$100,7,FALSE)</f>
        <v>#N/A</v>
      </c>
      <c r="Z18" s="7" t="e">
        <f>VLOOKUP($B18,emp_info!$C$3:$U$100,8,FALSE)</f>
        <v>#N/A</v>
      </c>
      <c r="AA18" s="7" t="e">
        <f>VLOOKUP($B18,emp_info!$C$3:$U$100,11,FALSE)</f>
        <v>#N/A</v>
      </c>
      <c r="AB18" s="7" t="e">
        <f>VLOOKUP($B18,emp_info!$C$3:$U$100,12,FALSE)</f>
        <v>#N/A</v>
      </c>
      <c r="AC18" s="7" t="e">
        <f>VLOOKUP($B18,emp_info!$C$3:$U$100,13,FALSE)</f>
        <v>#N/A</v>
      </c>
      <c r="AD18" s="7" t="e">
        <f>VLOOKUP($B18,emp_info!$C$3:$U$100,14,FALSE)</f>
        <v>#N/A</v>
      </c>
      <c r="AE18" s="7" t="e">
        <f>VLOOKUP($B18,emp_info!$C$3:$U$100,15,FALSE)</f>
        <v>#N/A</v>
      </c>
      <c r="AF18" s="7" t="e">
        <f>VLOOKUP($B18,emp_info!$C$3:$U$100,16,FALSE)</f>
        <v>#N/A</v>
      </c>
      <c r="AG18" s="7" t="e">
        <f>VLOOKUP($B18,emp_info!$C$3:$U$100,17,FALSE)</f>
        <v>#N/A</v>
      </c>
      <c r="AH18" s="7" t="e">
        <f>VLOOKUP($B18,emp_info!$C$3:$U$100,18,FALSE)</f>
        <v>#N/A</v>
      </c>
      <c r="AI18" s="7" t="e">
        <f>VLOOKUP($G18,contragent!$B$3:$I$10,2,FALSE)</f>
        <v>#N/A</v>
      </c>
      <c r="AJ18" s="7" t="e">
        <f>VLOOKUP($G18,contragent!$B$3:$I$10,3,FALSE)</f>
        <v>#N/A</v>
      </c>
      <c r="AK18" s="7" t="e">
        <f>VLOOKUP($G18,contragent!$B$3:$I$10,4,FALSE)</f>
        <v>#N/A</v>
      </c>
      <c r="AL18" s="7" t="e">
        <f>VLOOKUP($G18,contragent!$B$3:$I$10,5,FALSE)</f>
        <v>#N/A</v>
      </c>
      <c r="AM18" s="7" t="e">
        <f>VLOOKUP($G18,contragent!$B$3:$I$10,6,FALSE)</f>
        <v>#N/A</v>
      </c>
      <c r="AN18" s="7" t="e">
        <f>VLOOKUP($G18,contragent!$B$3:$I$10,7,FALSE)</f>
        <v>#N/A</v>
      </c>
      <c r="AO18" s="7" t="e">
        <f>VLOOKUP($G18,contragent!$B$3:$I$10,8,FALSE)</f>
        <v>#N/A</v>
      </c>
    </row>
    <row r="19" spans="2:41" x14ac:dyDescent="0.25">
      <c r="B19" s="9"/>
      <c r="C19" s="11">
        <f t="shared" si="0"/>
        <v>0</v>
      </c>
      <c r="D19" s="9">
        <f>IFERROR(VLOOKUP($B19,emp_info!$C$3:$U$100,19,FALSE),0)</f>
        <v>0</v>
      </c>
      <c r="E19" s="15">
        <v>0</v>
      </c>
      <c r="F19" s="9" t="e">
        <f>DATEDIF(VLOOKUP(B19,emp_info!$C$3:$U$100,6,FALSE),DATE($A$10,$A$8,DAY(VLOOKUP(B19,emp_info!$C$3:$U$100,6,FALSE))),"m")+_xlfn.IFNA(VLOOKUP(B19,emp_info!$C$3:$V$100,20,FALSE),0)</f>
        <v>#N/A</v>
      </c>
      <c r="G19" s="10"/>
      <c r="H19" s="11" t="str">
        <f t="shared" si="11"/>
        <v/>
      </c>
      <c r="I19" s="17">
        <f t="shared" si="1"/>
        <v>43404</v>
      </c>
      <c r="J19" s="21">
        <f t="shared" si="2"/>
        <v>43404</v>
      </c>
      <c r="K19" s="19">
        <f t="shared" si="3"/>
        <v>43374</v>
      </c>
      <c r="L19" s="19">
        <f t="shared" si="4"/>
        <v>43404</v>
      </c>
      <c r="M19" s="18">
        <f t="shared" si="5"/>
        <v>43374</v>
      </c>
      <c r="N19" s="18">
        <f t="shared" si="6"/>
        <v>43404</v>
      </c>
      <c r="O19" s="7" t="str">
        <f t="shared" si="7"/>
        <v xml:space="preserve">Ноль </v>
      </c>
      <c r="P19" s="7" t="str">
        <f t="shared" si="8"/>
        <v>Долларов</v>
      </c>
      <c r="Q19" s="25">
        <f t="shared" si="9"/>
        <v>43417</v>
      </c>
      <c r="R19" s="26">
        <f t="shared" si="9"/>
        <v>43417</v>
      </c>
      <c r="S19" s="26">
        <f t="shared" si="10"/>
        <v>43423</v>
      </c>
      <c r="T19" s="7" t="e">
        <f>VLOOKUP($B19,emp_info!$C$3:$U$100,2,FALSE)</f>
        <v>#N/A</v>
      </c>
      <c r="U19" s="7" t="e">
        <f>VLOOKUP($B19,emp_info!$C$3:$U$100,3,FALSE)</f>
        <v>#N/A</v>
      </c>
      <c r="V19" s="25" t="e">
        <f>VLOOKUP($B19,emp_info!$C$3:$U$100,4,FALSE)</f>
        <v>#N/A</v>
      </c>
      <c r="W19" s="7" t="e">
        <f>VLOOKUP($B19,emp_info!$C$3:$U$100,5,FALSE)</f>
        <v>#N/A</v>
      </c>
      <c r="X19" s="25" t="e">
        <f>VLOOKUP($B19,emp_info!$C$3:$U$100,6,FALSE)</f>
        <v>#N/A</v>
      </c>
      <c r="Y19" s="7" t="e">
        <f>VLOOKUP($B19,emp_info!$C$3:$U$100,7,FALSE)</f>
        <v>#N/A</v>
      </c>
      <c r="Z19" s="7" t="e">
        <f>VLOOKUP($B19,emp_info!$C$3:$U$100,8,FALSE)</f>
        <v>#N/A</v>
      </c>
      <c r="AA19" s="7" t="e">
        <f>VLOOKUP($B19,emp_info!$C$3:$U$100,11,FALSE)</f>
        <v>#N/A</v>
      </c>
      <c r="AB19" s="7" t="e">
        <f>VLOOKUP($B19,emp_info!$C$3:$U$100,12,FALSE)</f>
        <v>#N/A</v>
      </c>
      <c r="AC19" s="7" t="e">
        <f>VLOOKUP($B19,emp_info!$C$3:$U$100,13,FALSE)</f>
        <v>#N/A</v>
      </c>
      <c r="AD19" s="7" t="e">
        <f>VLOOKUP($B19,emp_info!$C$3:$U$100,14,FALSE)</f>
        <v>#N/A</v>
      </c>
      <c r="AE19" s="7" t="e">
        <f>VLOOKUP($B19,emp_info!$C$3:$U$100,15,FALSE)</f>
        <v>#N/A</v>
      </c>
      <c r="AF19" s="7" t="e">
        <f>VLOOKUP($B19,emp_info!$C$3:$U$100,16,FALSE)</f>
        <v>#N/A</v>
      </c>
      <c r="AG19" s="7" t="e">
        <f>VLOOKUP($B19,emp_info!$C$3:$U$100,17,FALSE)</f>
        <v>#N/A</v>
      </c>
      <c r="AH19" s="7" t="e">
        <f>VLOOKUP($B19,emp_info!$C$3:$U$100,18,FALSE)</f>
        <v>#N/A</v>
      </c>
      <c r="AI19" s="7" t="e">
        <f>VLOOKUP($G19,contragent!$B$3:$I$10,2,FALSE)</f>
        <v>#N/A</v>
      </c>
      <c r="AJ19" s="7" t="e">
        <f>VLOOKUP($G19,contragent!$B$3:$I$10,3,FALSE)</f>
        <v>#N/A</v>
      </c>
      <c r="AK19" s="7" t="e">
        <f>VLOOKUP($G19,contragent!$B$3:$I$10,4,FALSE)</f>
        <v>#N/A</v>
      </c>
      <c r="AL19" s="7" t="e">
        <f>VLOOKUP($G19,contragent!$B$3:$I$10,5,FALSE)</f>
        <v>#N/A</v>
      </c>
      <c r="AM19" s="7" t="e">
        <f>VLOOKUP($G19,contragent!$B$3:$I$10,6,FALSE)</f>
        <v>#N/A</v>
      </c>
      <c r="AN19" s="7" t="e">
        <f>VLOOKUP($G19,contragent!$B$3:$I$10,7,FALSE)</f>
        <v>#N/A</v>
      </c>
      <c r="AO19" s="7" t="e">
        <f>VLOOKUP($G19,contragent!$B$3:$I$10,8,FALSE)</f>
        <v>#N/A</v>
      </c>
    </row>
    <row r="20" spans="2:41" x14ac:dyDescent="0.25">
      <c r="B20" s="9"/>
      <c r="C20" s="11">
        <f t="shared" si="0"/>
        <v>0</v>
      </c>
      <c r="D20" s="9">
        <f>IFERROR(VLOOKUP($B20,emp_info!$C$3:$U$100,19,FALSE),0)</f>
        <v>0</v>
      </c>
      <c r="E20" s="15">
        <v>0</v>
      </c>
      <c r="F20" s="9" t="e">
        <f>DATEDIF(VLOOKUP(B20,emp_info!$C$3:$U$100,6,FALSE),DATE($A$10,$A$8,DAY(VLOOKUP(B20,emp_info!$C$3:$U$100,6,FALSE))),"m")+_xlfn.IFNA(VLOOKUP(B20,emp_info!$C$3:$V$100,20,FALSE),0)</f>
        <v>#N/A</v>
      </c>
      <c r="G20" s="10"/>
      <c r="H20" s="11" t="str">
        <f t="shared" si="11"/>
        <v/>
      </c>
      <c r="I20" s="17">
        <f t="shared" si="1"/>
        <v>43404</v>
      </c>
      <c r="J20" s="21">
        <f t="shared" si="2"/>
        <v>43404</v>
      </c>
      <c r="K20" s="19">
        <f t="shared" si="3"/>
        <v>43374</v>
      </c>
      <c r="L20" s="19">
        <f t="shared" si="4"/>
        <v>43404</v>
      </c>
      <c r="M20" s="18">
        <f t="shared" si="5"/>
        <v>43374</v>
      </c>
      <c r="N20" s="18">
        <f t="shared" si="6"/>
        <v>43404</v>
      </c>
      <c r="O20" s="7" t="str">
        <f t="shared" si="7"/>
        <v xml:space="preserve">Ноль </v>
      </c>
      <c r="P20" s="7" t="str">
        <f t="shared" si="8"/>
        <v>Долларов</v>
      </c>
      <c r="Q20" s="25">
        <f t="shared" si="9"/>
        <v>43417</v>
      </c>
      <c r="R20" s="26">
        <f t="shared" si="9"/>
        <v>43417</v>
      </c>
      <c r="S20" s="26">
        <f t="shared" si="10"/>
        <v>43423</v>
      </c>
      <c r="T20" s="7" t="e">
        <f>VLOOKUP($B20,emp_info!$C$3:$U$100,2,FALSE)</f>
        <v>#N/A</v>
      </c>
      <c r="U20" s="7" t="e">
        <f>VLOOKUP($B20,emp_info!$C$3:$U$100,3,FALSE)</f>
        <v>#N/A</v>
      </c>
      <c r="V20" s="25" t="e">
        <f>VLOOKUP($B20,emp_info!$C$3:$U$100,4,FALSE)</f>
        <v>#N/A</v>
      </c>
      <c r="W20" s="7" t="e">
        <f>VLOOKUP($B20,emp_info!$C$3:$U$100,5,FALSE)</f>
        <v>#N/A</v>
      </c>
      <c r="X20" s="25" t="e">
        <f>VLOOKUP($B20,emp_info!$C$3:$U$100,6,FALSE)</f>
        <v>#N/A</v>
      </c>
      <c r="Y20" s="7" t="e">
        <f>VLOOKUP($B20,emp_info!$C$3:$U$100,7,FALSE)</f>
        <v>#N/A</v>
      </c>
      <c r="Z20" s="7" t="e">
        <f>VLOOKUP($B20,emp_info!$C$3:$U$100,8,FALSE)</f>
        <v>#N/A</v>
      </c>
      <c r="AA20" s="7" t="e">
        <f>VLOOKUP($B20,emp_info!$C$3:$U$100,11,FALSE)</f>
        <v>#N/A</v>
      </c>
      <c r="AB20" s="7" t="e">
        <f>VLOOKUP($B20,emp_info!$C$3:$U$100,12,FALSE)</f>
        <v>#N/A</v>
      </c>
      <c r="AC20" s="7" t="e">
        <f>VLOOKUP($B20,emp_info!$C$3:$U$100,13,FALSE)</f>
        <v>#N/A</v>
      </c>
      <c r="AD20" s="7" t="e">
        <f>VLOOKUP($B20,emp_info!$C$3:$U$100,14,FALSE)</f>
        <v>#N/A</v>
      </c>
      <c r="AE20" s="7" t="e">
        <f>VLOOKUP($B20,emp_info!$C$3:$U$100,15,FALSE)</f>
        <v>#N/A</v>
      </c>
      <c r="AF20" s="7" t="e">
        <f>VLOOKUP($B20,emp_info!$C$3:$U$100,16,FALSE)</f>
        <v>#N/A</v>
      </c>
      <c r="AG20" s="7" t="e">
        <f>VLOOKUP($B20,emp_info!$C$3:$U$100,17,FALSE)</f>
        <v>#N/A</v>
      </c>
      <c r="AH20" s="7" t="e">
        <f>VLOOKUP($B20,emp_info!$C$3:$U$100,18,FALSE)</f>
        <v>#N/A</v>
      </c>
      <c r="AI20" s="7" t="e">
        <f>VLOOKUP($G20,contragent!$B$3:$I$10,2,FALSE)</f>
        <v>#N/A</v>
      </c>
      <c r="AJ20" s="7" t="e">
        <f>VLOOKUP($G20,contragent!$B$3:$I$10,3,FALSE)</f>
        <v>#N/A</v>
      </c>
      <c r="AK20" s="7" t="e">
        <f>VLOOKUP($G20,contragent!$B$3:$I$10,4,FALSE)</f>
        <v>#N/A</v>
      </c>
      <c r="AL20" s="7" t="e">
        <f>VLOOKUP($G20,contragent!$B$3:$I$10,5,FALSE)</f>
        <v>#N/A</v>
      </c>
      <c r="AM20" s="7" t="e">
        <f>VLOOKUP($G20,contragent!$B$3:$I$10,6,FALSE)</f>
        <v>#N/A</v>
      </c>
      <c r="AN20" s="7" t="e">
        <f>VLOOKUP($G20,contragent!$B$3:$I$10,7,FALSE)</f>
        <v>#N/A</v>
      </c>
      <c r="AO20" s="7" t="e">
        <f>VLOOKUP($G20,contragent!$B$3:$I$10,8,FALSE)</f>
        <v>#N/A</v>
      </c>
    </row>
    <row r="21" spans="2:41" x14ac:dyDescent="0.25">
      <c r="B21" s="9"/>
      <c r="C21" s="11">
        <f t="shared" si="0"/>
        <v>0</v>
      </c>
      <c r="D21" s="9">
        <f>IFERROR(VLOOKUP($B21,emp_info!$C$3:$U$100,19,FALSE),0)</f>
        <v>0</v>
      </c>
      <c r="E21" s="15">
        <v>0</v>
      </c>
      <c r="F21" s="9" t="e">
        <f>DATEDIF(VLOOKUP(B21,emp_info!$C$3:$U$100,6,FALSE),DATE($A$10,$A$8,DAY(VLOOKUP(B21,emp_info!$C$3:$U$100,6,FALSE))),"m")+_xlfn.IFNA(VLOOKUP(B21,emp_info!$C$3:$V$100,20,FALSE),0)</f>
        <v>#N/A</v>
      </c>
      <c r="G21" s="10"/>
      <c r="H21" s="11" t="str">
        <f t="shared" si="11"/>
        <v/>
      </c>
      <c r="I21" s="17">
        <f t="shared" si="1"/>
        <v>43404</v>
      </c>
      <c r="J21" s="21">
        <f t="shared" si="2"/>
        <v>43404</v>
      </c>
      <c r="K21" s="19">
        <f t="shared" si="3"/>
        <v>43374</v>
      </c>
      <c r="L21" s="19">
        <f t="shared" si="4"/>
        <v>43404</v>
      </c>
      <c r="M21" s="18">
        <f t="shared" si="5"/>
        <v>43374</v>
      </c>
      <c r="N21" s="18">
        <f t="shared" si="6"/>
        <v>43404</v>
      </c>
      <c r="O21" s="7" t="str">
        <f t="shared" si="7"/>
        <v xml:space="preserve">Ноль </v>
      </c>
      <c r="P21" s="7" t="str">
        <f t="shared" si="8"/>
        <v>Долларов</v>
      </c>
      <c r="Q21" s="25">
        <f t="shared" si="9"/>
        <v>43417</v>
      </c>
      <c r="R21" s="26">
        <f t="shared" si="9"/>
        <v>43417</v>
      </c>
      <c r="S21" s="26">
        <f t="shared" si="10"/>
        <v>43423</v>
      </c>
      <c r="T21" s="7" t="e">
        <f>VLOOKUP($B21,emp_info!$C$3:$U$100,2,FALSE)</f>
        <v>#N/A</v>
      </c>
      <c r="U21" s="7" t="e">
        <f>VLOOKUP($B21,emp_info!$C$3:$U$100,3,FALSE)</f>
        <v>#N/A</v>
      </c>
      <c r="V21" s="25" t="e">
        <f>VLOOKUP($B21,emp_info!$C$3:$U$100,4,FALSE)</f>
        <v>#N/A</v>
      </c>
      <c r="W21" s="7" t="e">
        <f>VLOOKUP($B21,emp_info!$C$3:$U$100,5,FALSE)</f>
        <v>#N/A</v>
      </c>
      <c r="X21" s="25" t="e">
        <f>VLOOKUP($B21,emp_info!$C$3:$U$100,6,FALSE)</f>
        <v>#N/A</v>
      </c>
      <c r="Y21" s="7" t="e">
        <f>VLOOKUP($B21,emp_info!$C$3:$U$100,7,FALSE)</f>
        <v>#N/A</v>
      </c>
      <c r="Z21" s="7" t="e">
        <f>VLOOKUP($B21,emp_info!$C$3:$U$100,8,FALSE)</f>
        <v>#N/A</v>
      </c>
      <c r="AA21" s="7" t="e">
        <f>VLOOKUP($B21,emp_info!$C$3:$U$100,11,FALSE)</f>
        <v>#N/A</v>
      </c>
      <c r="AB21" s="7" t="e">
        <f>VLOOKUP($B21,emp_info!$C$3:$U$100,12,FALSE)</f>
        <v>#N/A</v>
      </c>
      <c r="AC21" s="7" t="e">
        <f>VLOOKUP($B21,emp_info!$C$3:$U$100,13,FALSE)</f>
        <v>#N/A</v>
      </c>
      <c r="AD21" s="7" t="e">
        <f>VLOOKUP($B21,emp_info!$C$3:$U$100,14,FALSE)</f>
        <v>#N/A</v>
      </c>
      <c r="AE21" s="7" t="e">
        <f>VLOOKUP($B21,emp_info!$C$3:$U$100,15,FALSE)</f>
        <v>#N/A</v>
      </c>
      <c r="AF21" s="7" t="e">
        <f>VLOOKUP($B21,emp_info!$C$3:$U$100,16,FALSE)</f>
        <v>#N/A</v>
      </c>
      <c r="AG21" s="7" t="e">
        <f>VLOOKUP($B21,emp_info!$C$3:$U$100,17,FALSE)</f>
        <v>#N/A</v>
      </c>
      <c r="AH21" s="7" t="e">
        <f>VLOOKUP($B21,emp_info!$C$3:$U$100,18,FALSE)</f>
        <v>#N/A</v>
      </c>
      <c r="AI21" s="7" t="e">
        <f>VLOOKUP($G21,contragent!$B$3:$I$10,2,FALSE)</f>
        <v>#N/A</v>
      </c>
      <c r="AJ21" s="7" t="e">
        <f>VLOOKUP($G21,contragent!$B$3:$I$10,3,FALSE)</f>
        <v>#N/A</v>
      </c>
      <c r="AK21" s="7" t="e">
        <f>VLOOKUP($G21,contragent!$B$3:$I$10,4,FALSE)</f>
        <v>#N/A</v>
      </c>
      <c r="AL21" s="7" t="e">
        <f>VLOOKUP($G21,contragent!$B$3:$I$10,5,FALSE)</f>
        <v>#N/A</v>
      </c>
      <c r="AM21" s="7" t="e">
        <f>VLOOKUP($G21,contragent!$B$3:$I$10,6,FALSE)</f>
        <v>#N/A</v>
      </c>
      <c r="AN21" s="7" t="e">
        <f>VLOOKUP($G21,contragent!$B$3:$I$10,7,FALSE)</f>
        <v>#N/A</v>
      </c>
      <c r="AO21" s="7" t="e">
        <f>VLOOKUP($G21,contragent!$B$3:$I$10,8,FALSE)</f>
        <v>#N/A</v>
      </c>
    </row>
    <row r="22" spans="2:41" x14ac:dyDescent="0.25">
      <c r="B22" s="9"/>
      <c r="C22" s="11">
        <f t="shared" si="0"/>
        <v>0</v>
      </c>
      <c r="D22" s="9">
        <f>IFERROR(VLOOKUP($B22,emp_info!$C$3:$U$100,19,FALSE),0)</f>
        <v>0</v>
      </c>
      <c r="E22" s="15">
        <v>0</v>
      </c>
      <c r="F22" s="9" t="e">
        <f>DATEDIF(VLOOKUP(B22,emp_info!$C$3:$U$100,6,FALSE),DATE($A$10,$A$8,DAY(VLOOKUP(B22,emp_info!$C$3:$U$100,6,FALSE))),"m")+_xlfn.IFNA(VLOOKUP(B22,emp_info!$C$3:$V$100,20,FALSE),0)</f>
        <v>#N/A</v>
      </c>
      <c r="G22" s="10"/>
      <c r="H22" s="11" t="str">
        <f t="shared" si="11"/>
        <v/>
      </c>
      <c r="I22" s="17">
        <f t="shared" si="1"/>
        <v>43404</v>
      </c>
      <c r="J22" s="21">
        <f t="shared" si="2"/>
        <v>43404</v>
      </c>
      <c r="K22" s="19">
        <f t="shared" si="3"/>
        <v>43374</v>
      </c>
      <c r="L22" s="19">
        <f t="shared" si="4"/>
        <v>43404</v>
      </c>
      <c r="M22" s="18">
        <f t="shared" si="5"/>
        <v>43374</v>
      </c>
      <c r="N22" s="18">
        <f t="shared" si="6"/>
        <v>43404</v>
      </c>
      <c r="O22" s="7" t="str">
        <f t="shared" si="7"/>
        <v xml:space="preserve">Ноль </v>
      </c>
      <c r="P22" s="7" t="str">
        <f t="shared" si="8"/>
        <v>Долларов</v>
      </c>
      <c r="Q22" s="25">
        <f t="shared" si="9"/>
        <v>43417</v>
      </c>
      <c r="R22" s="26">
        <f t="shared" si="9"/>
        <v>43417</v>
      </c>
      <c r="S22" s="26">
        <f t="shared" si="10"/>
        <v>43423</v>
      </c>
      <c r="T22" s="7" t="e">
        <f>VLOOKUP($B22,emp_info!$C$3:$U$100,2,FALSE)</f>
        <v>#N/A</v>
      </c>
      <c r="U22" s="7" t="e">
        <f>VLOOKUP($B22,emp_info!$C$3:$U$100,3,FALSE)</f>
        <v>#N/A</v>
      </c>
      <c r="V22" s="25" t="e">
        <f>VLOOKUP($B22,emp_info!$C$3:$U$100,4,FALSE)</f>
        <v>#N/A</v>
      </c>
      <c r="W22" s="7" t="e">
        <f>VLOOKUP($B22,emp_info!$C$3:$U$100,5,FALSE)</f>
        <v>#N/A</v>
      </c>
      <c r="X22" s="25" t="e">
        <f>VLOOKUP($B22,emp_info!$C$3:$U$100,6,FALSE)</f>
        <v>#N/A</v>
      </c>
      <c r="Y22" s="7" t="e">
        <f>VLOOKUP($B22,emp_info!$C$3:$U$100,7,FALSE)</f>
        <v>#N/A</v>
      </c>
      <c r="Z22" s="7" t="e">
        <f>VLOOKUP($B22,emp_info!$C$3:$U$100,8,FALSE)</f>
        <v>#N/A</v>
      </c>
      <c r="AA22" s="7" t="e">
        <f>VLOOKUP($B22,emp_info!$C$3:$U$100,11,FALSE)</f>
        <v>#N/A</v>
      </c>
      <c r="AB22" s="7" t="e">
        <f>VLOOKUP($B22,emp_info!$C$3:$U$100,12,FALSE)</f>
        <v>#N/A</v>
      </c>
      <c r="AC22" s="7" t="e">
        <f>VLOOKUP($B22,emp_info!$C$3:$U$100,13,FALSE)</f>
        <v>#N/A</v>
      </c>
      <c r="AD22" s="7" t="e">
        <f>VLOOKUP($B22,emp_info!$C$3:$U$100,14,FALSE)</f>
        <v>#N/A</v>
      </c>
      <c r="AE22" s="7" t="e">
        <f>VLOOKUP($B22,emp_info!$C$3:$U$100,15,FALSE)</f>
        <v>#N/A</v>
      </c>
      <c r="AF22" s="7" t="e">
        <f>VLOOKUP($B22,emp_info!$C$3:$U$100,16,FALSE)</f>
        <v>#N/A</v>
      </c>
      <c r="AG22" s="7" t="e">
        <f>VLOOKUP($B22,emp_info!$C$3:$U$100,17,FALSE)</f>
        <v>#N/A</v>
      </c>
      <c r="AH22" s="7" t="e">
        <f>VLOOKUP($B22,emp_info!$C$3:$U$100,18,FALSE)</f>
        <v>#N/A</v>
      </c>
      <c r="AI22" s="7" t="e">
        <f>VLOOKUP($G22,contragent!$B$3:$I$10,2,FALSE)</f>
        <v>#N/A</v>
      </c>
      <c r="AJ22" s="7" t="e">
        <f>VLOOKUP($G22,contragent!$B$3:$I$10,3,FALSE)</f>
        <v>#N/A</v>
      </c>
      <c r="AK22" s="7" t="e">
        <f>VLOOKUP($G22,contragent!$B$3:$I$10,4,FALSE)</f>
        <v>#N/A</v>
      </c>
      <c r="AL22" s="7" t="e">
        <f>VLOOKUP($G22,contragent!$B$3:$I$10,5,FALSE)</f>
        <v>#N/A</v>
      </c>
      <c r="AM22" s="7" t="e">
        <f>VLOOKUP($G22,contragent!$B$3:$I$10,6,FALSE)</f>
        <v>#N/A</v>
      </c>
      <c r="AN22" s="7" t="e">
        <f>VLOOKUP($G22,contragent!$B$3:$I$10,7,FALSE)</f>
        <v>#N/A</v>
      </c>
      <c r="AO22" s="7" t="e">
        <f>VLOOKUP($G22,contragent!$B$3:$I$10,8,FALSE)</f>
        <v>#N/A</v>
      </c>
    </row>
    <row r="23" spans="2:41" x14ac:dyDescent="0.25">
      <c r="B23" s="9"/>
      <c r="C23" s="11">
        <f t="shared" si="0"/>
        <v>0</v>
      </c>
      <c r="D23" s="9">
        <f>IFERROR(VLOOKUP($B23,emp_info!$C$3:$U$100,19,FALSE),0)</f>
        <v>0</v>
      </c>
      <c r="E23" s="15">
        <v>0</v>
      </c>
      <c r="F23" s="9" t="e">
        <f>DATEDIF(VLOOKUP(B23,emp_info!$C$3:$U$100,6,FALSE),DATE($A$10,$A$8,DAY(VLOOKUP(B23,emp_info!$C$3:$U$100,6,FALSE))),"m")+_xlfn.IFNA(VLOOKUP(B23,emp_info!$C$3:$V$100,20,FALSE),0)</f>
        <v>#N/A</v>
      </c>
      <c r="G23" s="10"/>
      <c r="H23" s="11" t="str">
        <f t="shared" si="11"/>
        <v/>
      </c>
      <c r="I23" s="17">
        <f t="shared" si="1"/>
        <v>43404</v>
      </c>
      <c r="J23" s="21">
        <f t="shared" si="2"/>
        <v>43404</v>
      </c>
      <c r="K23" s="19">
        <f t="shared" si="3"/>
        <v>43374</v>
      </c>
      <c r="L23" s="19">
        <f t="shared" si="4"/>
        <v>43404</v>
      </c>
      <c r="M23" s="18">
        <f t="shared" si="5"/>
        <v>43374</v>
      </c>
      <c r="N23" s="18">
        <f t="shared" si="6"/>
        <v>43404</v>
      </c>
      <c r="O23" s="7" t="str">
        <f t="shared" si="7"/>
        <v xml:space="preserve">Ноль </v>
      </c>
      <c r="P23" s="7" t="str">
        <f t="shared" si="8"/>
        <v>Долларов</v>
      </c>
      <c r="Q23" s="25">
        <f t="shared" si="9"/>
        <v>43417</v>
      </c>
      <c r="R23" s="26">
        <f t="shared" si="9"/>
        <v>43417</v>
      </c>
      <c r="S23" s="26">
        <f t="shared" si="10"/>
        <v>43423</v>
      </c>
      <c r="T23" s="7" t="e">
        <f>VLOOKUP($B23,emp_info!$C$3:$U$100,2,FALSE)</f>
        <v>#N/A</v>
      </c>
      <c r="U23" s="7" t="e">
        <f>VLOOKUP($B23,emp_info!$C$3:$U$100,3,FALSE)</f>
        <v>#N/A</v>
      </c>
      <c r="V23" s="25" t="e">
        <f>VLOOKUP($B23,emp_info!$C$3:$U$100,4,FALSE)</f>
        <v>#N/A</v>
      </c>
      <c r="W23" s="7" t="e">
        <f>VLOOKUP($B23,emp_info!$C$3:$U$100,5,FALSE)</f>
        <v>#N/A</v>
      </c>
      <c r="X23" s="25" t="e">
        <f>VLOOKUP($B23,emp_info!$C$3:$U$100,6,FALSE)</f>
        <v>#N/A</v>
      </c>
      <c r="Y23" s="7" t="e">
        <f>VLOOKUP($B23,emp_info!$C$3:$U$100,7,FALSE)</f>
        <v>#N/A</v>
      </c>
      <c r="Z23" s="7" t="e">
        <f>VLOOKUP($B23,emp_info!$C$3:$U$100,8,FALSE)</f>
        <v>#N/A</v>
      </c>
      <c r="AA23" s="7" t="e">
        <f>VLOOKUP($B23,emp_info!$C$3:$U$100,11,FALSE)</f>
        <v>#N/A</v>
      </c>
      <c r="AB23" s="7" t="e">
        <f>VLOOKUP($B23,emp_info!$C$3:$U$100,12,FALSE)</f>
        <v>#N/A</v>
      </c>
      <c r="AC23" s="7" t="e">
        <f>VLOOKUP($B23,emp_info!$C$3:$U$100,13,FALSE)</f>
        <v>#N/A</v>
      </c>
      <c r="AD23" s="7" t="e">
        <f>VLOOKUP($B23,emp_info!$C$3:$U$100,14,FALSE)</f>
        <v>#N/A</v>
      </c>
      <c r="AE23" s="7" t="e">
        <f>VLOOKUP($B23,emp_info!$C$3:$U$100,15,FALSE)</f>
        <v>#N/A</v>
      </c>
      <c r="AF23" s="7" t="e">
        <f>VLOOKUP($B23,emp_info!$C$3:$U$100,16,FALSE)</f>
        <v>#N/A</v>
      </c>
      <c r="AG23" s="7" t="e">
        <f>VLOOKUP($B23,emp_info!$C$3:$U$100,17,FALSE)</f>
        <v>#N/A</v>
      </c>
      <c r="AH23" s="7" t="e">
        <f>VLOOKUP($B23,emp_info!$C$3:$U$100,18,FALSE)</f>
        <v>#N/A</v>
      </c>
      <c r="AI23" s="7" t="e">
        <f>VLOOKUP($G23,contragent!$B$3:$I$10,2,FALSE)</f>
        <v>#N/A</v>
      </c>
      <c r="AJ23" s="7" t="e">
        <f>VLOOKUP($G23,contragent!$B$3:$I$10,3,FALSE)</f>
        <v>#N/A</v>
      </c>
      <c r="AK23" s="7" t="e">
        <f>VLOOKUP($G23,contragent!$B$3:$I$10,4,FALSE)</f>
        <v>#N/A</v>
      </c>
      <c r="AL23" s="7" t="e">
        <f>VLOOKUP($G23,contragent!$B$3:$I$10,5,FALSE)</f>
        <v>#N/A</v>
      </c>
      <c r="AM23" s="7" t="e">
        <f>VLOOKUP($G23,contragent!$B$3:$I$10,6,FALSE)</f>
        <v>#N/A</v>
      </c>
      <c r="AN23" s="7" t="e">
        <f>VLOOKUP($G23,contragent!$B$3:$I$10,7,FALSE)</f>
        <v>#N/A</v>
      </c>
      <c r="AO23" s="7" t="e">
        <f>VLOOKUP($G23,contragent!$B$3:$I$10,8,FALSE)</f>
        <v>#N/A</v>
      </c>
    </row>
    <row r="24" spans="2:41" x14ac:dyDescent="0.25">
      <c r="B24" s="9"/>
      <c r="C24" s="11">
        <f t="shared" si="0"/>
        <v>0</v>
      </c>
      <c r="D24" s="9">
        <f>IFERROR(VLOOKUP($B24,emp_info!$C$3:$U$100,19,FALSE),0)</f>
        <v>0</v>
      </c>
      <c r="E24" s="15">
        <v>0</v>
      </c>
      <c r="F24" s="9" t="e">
        <f>DATEDIF(VLOOKUP(B24,emp_info!$C$3:$U$100,6,FALSE),DATE($A$10,$A$8,DAY(VLOOKUP(B24,emp_info!$C$3:$U$100,6,FALSE))),"m")+_xlfn.IFNA(VLOOKUP(B24,emp_info!$C$3:$V$100,20,FALSE),0)</f>
        <v>#N/A</v>
      </c>
      <c r="G24" s="10"/>
      <c r="H24" s="11" t="str">
        <f t="shared" si="11"/>
        <v/>
      </c>
      <c r="I24" s="17">
        <f t="shared" si="1"/>
        <v>43404</v>
      </c>
      <c r="J24" s="21">
        <f t="shared" si="2"/>
        <v>43404</v>
      </c>
      <c r="K24" s="19">
        <f t="shared" si="3"/>
        <v>43374</v>
      </c>
      <c r="L24" s="19">
        <f t="shared" si="4"/>
        <v>43404</v>
      </c>
      <c r="M24" s="18">
        <f t="shared" si="5"/>
        <v>43374</v>
      </c>
      <c r="N24" s="18">
        <f t="shared" si="6"/>
        <v>43404</v>
      </c>
      <c r="O24" s="7" t="str">
        <f t="shared" si="7"/>
        <v xml:space="preserve">Ноль </v>
      </c>
      <c r="P24" s="7" t="str">
        <f t="shared" si="8"/>
        <v>Долларов</v>
      </c>
      <c r="Q24" s="25">
        <f t="shared" si="9"/>
        <v>43417</v>
      </c>
      <c r="R24" s="26">
        <f t="shared" si="9"/>
        <v>43417</v>
      </c>
      <c r="S24" s="26">
        <f t="shared" si="10"/>
        <v>43423</v>
      </c>
      <c r="T24" s="7" t="e">
        <f>VLOOKUP($B24,emp_info!$C$3:$U$100,2,FALSE)</f>
        <v>#N/A</v>
      </c>
      <c r="U24" s="7" t="e">
        <f>VLOOKUP($B24,emp_info!$C$3:$U$100,3,FALSE)</f>
        <v>#N/A</v>
      </c>
      <c r="V24" s="25" t="e">
        <f>VLOOKUP($B24,emp_info!$C$3:$U$100,4,FALSE)</f>
        <v>#N/A</v>
      </c>
      <c r="W24" s="7" t="e">
        <f>VLOOKUP($B24,emp_info!$C$3:$U$100,5,FALSE)</f>
        <v>#N/A</v>
      </c>
      <c r="X24" s="25" t="e">
        <f>VLOOKUP($B24,emp_info!$C$3:$U$100,6,FALSE)</f>
        <v>#N/A</v>
      </c>
      <c r="Y24" s="7" t="e">
        <f>VLOOKUP($B24,emp_info!$C$3:$U$100,7,FALSE)</f>
        <v>#N/A</v>
      </c>
      <c r="Z24" s="7" t="e">
        <f>VLOOKUP($B24,emp_info!$C$3:$U$100,8,FALSE)</f>
        <v>#N/A</v>
      </c>
      <c r="AA24" s="7" t="e">
        <f>VLOOKUP($B24,emp_info!$C$3:$U$100,11,FALSE)</f>
        <v>#N/A</v>
      </c>
      <c r="AB24" s="7" t="e">
        <f>VLOOKUP($B24,emp_info!$C$3:$U$100,12,FALSE)</f>
        <v>#N/A</v>
      </c>
      <c r="AC24" s="7" t="e">
        <f>VLOOKUP($B24,emp_info!$C$3:$U$100,13,FALSE)</f>
        <v>#N/A</v>
      </c>
      <c r="AD24" s="7" t="e">
        <f>VLOOKUP($B24,emp_info!$C$3:$U$100,14,FALSE)</f>
        <v>#N/A</v>
      </c>
      <c r="AE24" s="7" t="e">
        <f>VLOOKUP($B24,emp_info!$C$3:$U$100,15,FALSE)</f>
        <v>#N/A</v>
      </c>
      <c r="AF24" s="7" t="e">
        <f>VLOOKUP($B24,emp_info!$C$3:$U$100,16,FALSE)</f>
        <v>#N/A</v>
      </c>
      <c r="AG24" s="7" t="e">
        <f>VLOOKUP($B24,emp_info!$C$3:$U$100,17,FALSE)</f>
        <v>#N/A</v>
      </c>
      <c r="AH24" s="7" t="e">
        <f>VLOOKUP($B24,emp_info!$C$3:$U$100,18,FALSE)</f>
        <v>#N/A</v>
      </c>
      <c r="AI24" s="7" t="e">
        <f>VLOOKUP($G24,contragent!$B$3:$I$10,2,FALSE)</f>
        <v>#N/A</v>
      </c>
      <c r="AJ24" s="7" t="e">
        <f>VLOOKUP($G24,contragent!$B$3:$I$10,3,FALSE)</f>
        <v>#N/A</v>
      </c>
      <c r="AK24" s="7" t="e">
        <f>VLOOKUP($G24,contragent!$B$3:$I$10,4,FALSE)</f>
        <v>#N/A</v>
      </c>
      <c r="AL24" s="7" t="e">
        <f>VLOOKUP($G24,contragent!$B$3:$I$10,5,FALSE)</f>
        <v>#N/A</v>
      </c>
      <c r="AM24" s="7" t="e">
        <f>VLOOKUP($G24,contragent!$B$3:$I$10,6,FALSE)</f>
        <v>#N/A</v>
      </c>
      <c r="AN24" s="7" t="e">
        <f>VLOOKUP($G24,contragent!$B$3:$I$10,7,FALSE)</f>
        <v>#N/A</v>
      </c>
      <c r="AO24" s="7" t="e">
        <f>VLOOKUP($G24,contragent!$B$3:$I$10,8,FALSE)</f>
        <v>#N/A</v>
      </c>
    </row>
    <row r="25" spans="2:41" x14ac:dyDescent="0.25">
      <c r="B25" s="9"/>
      <c r="C25" s="11">
        <f t="shared" si="0"/>
        <v>0</v>
      </c>
      <c r="D25" s="9">
        <f>IFERROR(VLOOKUP($B25,emp_info!$C$3:$U$100,19,FALSE),0)</f>
        <v>0</v>
      </c>
      <c r="E25" s="15">
        <v>0</v>
      </c>
      <c r="F25" s="9" t="e">
        <f>DATEDIF(VLOOKUP(B25,emp_info!$C$3:$U$100,6,FALSE),DATE($A$10,$A$8,DAY(VLOOKUP(B25,emp_info!$C$3:$U$100,6,FALSE))),"m")+_xlfn.IFNA(VLOOKUP(B25,emp_info!$C$3:$V$100,20,FALSE),0)</f>
        <v>#N/A</v>
      </c>
      <c r="G25" s="10"/>
      <c r="H25" s="11" t="str">
        <f t="shared" si="11"/>
        <v/>
      </c>
      <c r="I25" s="17">
        <f t="shared" si="1"/>
        <v>43404</v>
      </c>
      <c r="J25" s="21">
        <f t="shared" si="2"/>
        <v>43404</v>
      </c>
      <c r="K25" s="19">
        <f t="shared" si="3"/>
        <v>43374</v>
      </c>
      <c r="L25" s="19">
        <f t="shared" si="4"/>
        <v>43404</v>
      </c>
      <c r="M25" s="18">
        <f t="shared" si="5"/>
        <v>43374</v>
      </c>
      <c r="N25" s="18">
        <f t="shared" si="6"/>
        <v>43404</v>
      </c>
      <c r="O25" s="7" t="str">
        <f t="shared" si="7"/>
        <v xml:space="preserve">Ноль </v>
      </c>
      <c r="P25" s="7" t="str">
        <f t="shared" si="8"/>
        <v>Долларов</v>
      </c>
      <c r="Q25" s="25">
        <f t="shared" si="9"/>
        <v>43417</v>
      </c>
      <c r="R25" s="26">
        <f t="shared" si="9"/>
        <v>43417</v>
      </c>
      <c r="S25" s="26">
        <f t="shared" si="10"/>
        <v>43423</v>
      </c>
      <c r="T25" s="7" t="e">
        <f>VLOOKUP($B25,emp_info!$C$3:$U$100,2,FALSE)</f>
        <v>#N/A</v>
      </c>
      <c r="U25" s="7" t="e">
        <f>VLOOKUP($B25,emp_info!$C$3:$U$100,3,FALSE)</f>
        <v>#N/A</v>
      </c>
      <c r="V25" s="25" t="e">
        <f>VLOOKUP($B25,emp_info!$C$3:$U$100,4,FALSE)</f>
        <v>#N/A</v>
      </c>
      <c r="W25" s="7" t="e">
        <f>VLOOKUP($B25,emp_info!$C$3:$U$100,5,FALSE)</f>
        <v>#N/A</v>
      </c>
      <c r="X25" s="25" t="e">
        <f>VLOOKUP($B25,emp_info!$C$3:$U$100,6,FALSE)</f>
        <v>#N/A</v>
      </c>
      <c r="Y25" s="7" t="e">
        <f>VLOOKUP($B25,emp_info!$C$3:$U$100,7,FALSE)</f>
        <v>#N/A</v>
      </c>
      <c r="Z25" s="7" t="e">
        <f>VLOOKUP($B25,emp_info!$C$3:$U$100,8,FALSE)</f>
        <v>#N/A</v>
      </c>
      <c r="AA25" s="7" t="e">
        <f>VLOOKUP($B25,emp_info!$C$3:$U$100,11,FALSE)</f>
        <v>#N/A</v>
      </c>
      <c r="AB25" s="7" t="e">
        <f>VLOOKUP($B25,emp_info!$C$3:$U$100,12,FALSE)</f>
        <v>#N/A</v>
      </c>
      <c r="AC25" s="7" t="e">
        <f>VLOOKUP($B25,emp_info!$C$3:$U$100,13,FALSE)</f>
        <v>#N/A</v>
      </c>
      <c r="AD25" s="7" t="e">
        <f>VLOOKUP($B25,emp_info!$C$3:$U$100,14,FALSE)</f>
        <v>#N/A</v>
      </c>
      <c r="AE25" s="7" t="e">
        <f>VLOOKUP($B25,emp_info!$C$3:$U$100,15,FALSE)</f>
        <v>#N/A</v>
      </c>
      <c r="AF25" s="7" t="e">
        <f>VLOOKUP($B25,emp_info!$C$3:$U$100,16,FALSE)</f>
        <v>#N/A</v>
      </c>
      <c r="AG25" s="7" t="e">
        <f>VLOOKUP($B25,emp_info!$C$3:$U$100,17,FALSE)</f>
        <v>#N/A</v>
      </c>
      <c r="AH25" s="7" t="e">
        <f>VLOOKUP($B25,emp_info!$C$3:$U$100,18,FALSE)</f>
        <v>#N/A</v>
      </c>
      <c r="AI25" s="7" t="e">
        <f>VLOOKUP($G25,contragent!$B$3:$I$10,2,FALSE)</f>
        <v>#N/A</v>
      </c>
      <c r="AJ25" s="7" t="e">
        <f>VLOOKUP($G25,contragent!$B$3:$I$10,3,FALSE)</f>
        <v>#N/A</v>
      </c>
      <c r="AK25" s="7" t="e">
        <f>VLOOKUP($G25,contragent!$B$3:$I$10,4,FALSE)</f>
        <v>#N/A</v>
      </c>
      <c r="AL25" s="7" t="e">
        <f>VLOOKUP($G25,contragent!$B$3:$I$10,5,FALSE)</f>
        <v>#N/A</v>
      </c>
      <c r="AM25" s="7" t="e">
        <f>VLOOKUP($G25,contragent!$B$3:$I$10,6,FALSE)</f>
        <v>#N/A</v>
      </c>
      <c r="AN25" s="7" t="e">
        <f>VLOOKUP($G25,contragent!$B$3:$I$10,7,FALSE)</f>
        <v>#N/A</v>
      </c>
      <c r="AO25" s="7" t="e">
        <f>VLOOKUP($G25,contragent!$B$3:$I$10,8,FALSE)</f>
        <v>#N/A</v>
      </c>
    </row>
    <row r="26" spans="2:41" x14ac:dyDescent="0.25">
      <c r="B26" s="9"/>
      <c r="C26" s="11">
        <f t="shared" si="0"/>
        <v>0</v>
      </c>
      <c r="D26" s="9">
        <f>IFERROR(VLOOKUP($B26,emp_info!$C$3:$U$100,19,FALSE),0)</f>
        <v>0</v>
      </c>
      <c r="E26" s="15">
        <v>0</v>
      </c>
      <c r="F26" s="9" t="e">
        <f>DATEDIF(VLOOKUP(B26,emp_info!$C$3:$U$100,6,FALSE),DATE($A$10,$A$8,DAY(VLOOKUP(B26,emp_info!$C$3:$U$100,6,FALSE))),"m")+_xlfn.IFNA(VLOOKUP(B26,emp_info!$C$3:$V$100,20,FALSE),0)</f>
        <v>#N/A</v>
      </c>
      <c r="G26" s="10"/>
      <c r="H26" s="11" t="str">
        <f t="shared" si="11"/>
        <v/>
      </c>
      <c r="I26" s="17">
        <f t="shared" si="1"/>
        <v>43404</v>
      </c>
      <c r="J26" s="21">
        <f t="shared" si="2"/>
        <v>43404</v>
      </c>
      <c r="K26" s="19">
        <f t="shared" si="3"/>
        <v>43374</v>
      </c>
      <c r="L26" s="19">
        <f t="shared" si="4"/>
        <v>43404</v>
      </c>
      <c r="M26" s="18">
        <f t="shared" si="5"/>
        <v>43374</v>
      </c>
      <c r="N26" s="18">
        <f t="shared" si="6"/>
        <v>43404</v>
      </c>
      <c r="O26" s="7" t="str">
        <f t="shared" si="7"/>
        <v xml:space="preserve">Ноль </v>
      </c>
      <c r="P26" s="7" t="str">
        <f t="shared" si="8"/>
        <v>Долларов</v>
      </c>
      <c r="Q26" s="25">
        <f t="shared" si="9"/>
        <v>43417</v>
      </c>
      <c r="R26" s="26">
        <f t="shared" si="9"/>
        <v>43417</v>
      </c>
      <c r="S26" s="26">
        <f t="shared" si="10"/>
        <v>43423</v>
      </c>
      <c r="T26" s="7" t="e">
        <f>VLOOKUP($B26,emp_info!$C$3:$U$100,2,FALSE)</f>
        <v>#N/A</v>
      </c>
      <c r="U26" s="7" t="e">
        <f>VLOOKUP($B26,emp_info!$C$3:$U$100,3,FALSE)</f>
        <v>#N/A</v>
      </c>
      <c r="V26" s="25" t="e">
        <f>VLOOKUP($B26,emp_info!$C$3:$U$100,4,FALSE)</f>
        <v>#N/A</v>
      </c>
      <c r="W26" s="7" t="e">
        <f>VLOOKUP($B26,emp_info!$C$3:$U$100,5,FALSE)</f>
        <v>#N/A</v>
      </c>
      <c r="X26" s="25" t="e">
        <f>VLOOKUP($B26,emp_info!$C$3:$U$100,6,FALSE)</f>
        <v>#N/A</v>
      </c>
      <c r="Y26" s="7" t="e">
        <f>VLOOKUP($B26,emp_info!$C$3:$U$100,7,FALSE)</f>
        <v>#N/A</v>
      </c>
      <c r="Z26" s="7" t="e">
        <f>VLOOKUP($B26,emp_info!$C$3:$U$100,8,FALSE)</f>
        <v>#N/A</v>
      </c>
      <c r="AA26" s="7" t="e">
        <f>VLOOKUP($B26,emp_info!$C$3:$U$100,11,FALSE)</f>
        <v>#N/A</v>
      </c>
      <c r="AB26" s="7" t="e">
        <f>VLOOKUP($B26,emp_info!$C$3:$U$100,12,FALSE)</f>
        <v>#N/A</v>
      </c>
      <c r="AC26" s="7" t="e">
        <f>VLOOKUP($B26,emp_info!$C$3:$U$100,13,FALSE)</f>
        <v>#N/A</v>
      </c>
      <c r="AD26" s="7" t="e">
        <f>VLOOKUP($B26,emp_info!$C$3:$U$100,14,FALSE)</f>
        <v>#N/A</v>
      </c>
      <c r="AE26" s="7" t="e">
        <f>VLOOKUP($B26,emp_info!$C$3:$U$100,15,FALSE)</f>
        <v>#N/A</v>
      </c>
      <c r="AF26" s="7" t="e">
        <f>VLOOKUP($B26,emp_info!$C$3:$U$100,16,FALSE)</f>
        <v>#N/A</v>
      </c>
      <c r="AG26" s="7" t="e">
        <f>VLOOKUP($B26,emp_info!$C$3:$U$100,17,FALSE)</f>
        <v>#N/A</v>
      </c>
      <c r="AH26" s="7" t="e">
        <f>VLOOKUP($B26,emp_info!$C$3:$U$100,18,FALSE)</f>
        <v>#N/A</v>
      </c>
      <c r="AI26" s="7" t="e">
        <f>VLOOKUP($G26,contragent!$B$3:$I$10,2,FALSE)</f>
        <v>#N/A</v>
      </c>
      <c r="AJ26" s="7" t="e">
        <f>VLOOKUP($G26,contragent!$B$3:$I$10,3,FALSE)</f>
        <v>#N/A</v>
      </c>
      <c r="AK26" s="7" t="e">
        <f>VLOOKUP($G26,contragent!$B$3:$I$10,4,FALSE)</f>
        <v>#N/A</v>
      </c>
      <c r="AL26" s="7" t="e">
        <f>VLOOKUP($G26,contragent!$B$3:$I$10,5,FALSE)</f>
        <v>#N/A</v>
      </c>
      <c r="AM26" s="7" t="e">
        <f>VLOOKUP($G26,contragent!$B$3:$I$10,6,FALSE)</f>
        <v>#N/A</v>
      </c>
      <c r="AN26" s="7" t="e">
        <f>VLOOKUP($G26,contragent!$B$3:$I$10,7,FALSE)</f>
        <v>#N/A</v>
      </c>
      <c r="AO26" s="7" t="e">
        <f>VLOOKUP($G26,contragent!$B$3:$I$10,8,FALSE)</f>
        <v>#N/A</v>
      </c>
    </row>
    <row r="27" spans="2:41" x14ac:dyDescent="0.25">
      <c r="B27" s="9"/>
      <c r="C27" s="11">
        <f t="shared" si="0"/>
        <v>0</v>
      </c>
      <c r="D27" s="9">
        <f>IFERROR(VLOOKUP($B27,emp_info!$C$3:$U$100,19,FALSE),0)</f>
        <v>0</v>
      </c>
      <c r="E27" s="15">
        <v>0</v>
      </c>
      <c r="F27" s="9" t="e">
        <f>DATEDIF(VLOOKUP(B27,emp_info!$C$3:$U$100,6,FALSE),DATE($A$10,$A$8,DAY(VLOOKUP(B27,emp_info!$C$3:$U$100,6,FALSE))),"m")+_xlfn.IFNA(VLOOKUP(B27,emp_info!$C$3:$V$100,20,FALSE),0)</f>
        <v>#N/A</v>
      </c>
      <c r="G27" s="10"/>
      <c r="H27" s="11" t="str">
        <f t="shared" si="11"/>
        <v/>
      </c>
      <c r="I27" s="17">
        <f t="shared" si="1"/>
        <v>43404</v>
      </c>
      <c r="J27" s="21">
        <f t="shared" si="2"/>
        <v>43404</v>
      </c>
      <c r="K27" s="19">
        <f t="shared" si="3"/>
        <v>43374</v>
      </c>
      <c r="L27" s="19">
        <f t="shared" si="4"/>
        <v>43404</v>
      </c>
      <c r="M27" s="18">
        <f t="shared" si="5"/>
        <v>43374</v>
      </c>
      <c r="N27" s="18">
        <f t="shared" si="6"/>
        <v>43404</v>
      </c>
      <c r="O27" s="7" t="str">
        <f t="shared" si="7"/>
        <v xml:space="preserve">Ноль </v>
      </c>
      <c r="P27" s="7" t="str">
        <f t="shared" si="8"/>
        <v>Долларов</v>
      </c>
      <c r="Q27" s="25">
        <f t="shared" si="9"/>
        <v>43417</v>
      </c>
      <c r="R27" s="26">
        <f t="shared" si="9"/>
        <v>43417</v>
      </c>
      <c r="S27" s="26">
        <f t="shared" si="10"/>
        <v>43423</v>
      </c>
      <c r="T27" s="7" t="e">
        <f>VLOOKUP($B27,emp_info!$C$3:$U$100,2,FALSE)</f>
        <v>#N/A</v>
      </c>
      <c r="U27" s="7" t="e">
        <f>VLOOKUP($B27,emp_info!$C$3:$U$100,3,FALSE)</f>
        <v>#N/A</v>
      </c>
      <c r="V27" s="25" t="e">
        <f>VLOOKUP($B27,emp_info!$C$3:$U$100,4,FALSE)</f>
        <v>#N/A</v>
      </c>
      <c r="W27" s="7" t="e">
        <f>VLOOKUP($B27,emp_info!$C$3:$U$100,5,FALSE)</f>
        <v>#N/A</v>
      </c>
      <c r="X27" s="25" t="e">
        <f>VLOOKUP($B27,emp_info!$C$3:$U$100,6,FALSE)</f>
        <v>#N/A</v>
      </c>
      <c r="Y27" s="7" t="e">
        <f>VLOOKUP($B27,emp_info!$C$3:$U$100,7,FALSE)</f>
        <v>#N/A</v>
      </c>
      <c r="Z27" s="7" t="e">
        <f>VLOOKUP($B27,emp_info!$C$3:$U$100,8,FALSE)</f>
        <v>#N/A</v>
      </c>
      <c r="AA27" s="7" t="e">
        <f>VLOOKUP($B27,emp_info!$C$3:$U$100,11,FALSE)</f>
        <v>#N/A</v>
      </c>
      <c r="AB27" s="7" t="e">
        <f>VLOOKUP($B27,emp_info!$C$3:$U$100,12,FALSE)</f>
        <v>#N/A</v>
      </c>
      <c r="AC27" s="7" t="e">
        <f>VLOOKUP($B27,emp_info!$C$3:$U$100,13,FALSE)</f>
        <v>#N/A</v>
      </c>
      <c r="AD27" s="7" t="e">
        <f>VLOOKUP($B27,emp_info!$C$3:$U$100,14,FALSE)</f>
        <v>#N/A</v>
      </c>
      <c r="AE27" s="7" t="e">
        <f>VLOOKUP($B27,emp_info!$C$3:$U$100,15,FALSE)</f>
        <v>#N/A</v>
      </c>
      <c r="AF27" s="7" t="e">
        <f>VLOOKUP($B27,emp_info!$C$3:$U$100,16,FALSE)</f>
        <v>#N/A</v>
      </c>
      <c r="AG27" s="7" t="e">
        <f>VLOOKUP($B27,emp_info!$C$3:$U$100,17,FALSE)</f>
        <v>#N/A</v>
      </c>
      <c r="AH27" s="7" t="e">
        <f>VLOOKUP($B27,emp_info!$C$3:$U$100,18,FALSE)</f>
        <v>#N/A</v>
      </c>
      <c r="AI27" s="7" t="e">
        <f>VLOOKUP($G27,contragent!$B$3:$I$10,2,FALSE)</f>
        <v>#N/A</v>
      </c>
      <c r="AJ27" s="7" t="e">
        <f>VLOOKUP($G27,contragent!$B$3:$I$10,3,FALSE)</f>
        <v>#N/A</v>
      </c>
      <c r="AK27" s="7" t="e">
        <f>VLOOKUP($G27,contragent!$B$3:$I$10,4,FALSE)</f>
        <v>#N/A</v>
      </c>
      <c r="AL27" s="7" t="e">
        <f>VLOOKUP($G27,contragent!$B$3:$I$10,5,FALSE)</f>
        <v>#N/A</v>
      </c>
      <c r="AM27" s="7" t="e">
        <f>VLOOKUP($G27,contragent!$B$3:$I$10,6,FALSE)</f>
        <v>#N/A</v>
      </c>
      <c r="AN27" s="7" t="e">
        <f>VLOOKUP($G27,contragent!$B$3:$I$10,7,FALSE)</f>
        <v>#N/A</v>
      </c>
      <c r="AO27" s="7" t="e">
        <f>VLOOKUP($G27,contragent!$B$3:$I$10,8,FALSE)</f>
        <v>#N/A</v>
      </c>
    </row>
    <row r="28" spans="2:41" x14ac:dyDescent="0.25">
      <c r="B28" s="9"/>
      <c r="C28" s="11">
        <f t="shared" si="0"/>
        <v>0</v>
      </c>
      <c r="D28" s="9">
        <f>IFERROR(VLOOKUP($B28,emp_info!$C$3:$U$100,19,FALSE),0)</f>
        <v>0</v>
      </c>
      <c r="E28" s="15">
        <v>0</v>
      </c>
      <c r="F28" s="9" t="e">
        <f>DATEDIF(VLOOKUP(B28,emp_info!$C$3:$U$100,6,FALSE),DATE($A$10,$A$8,DAY(VLOOKUP(B28,emp_info!$C$3:$U$100,6,FALSE))),"m")+_xlfn.IFNA(VLOOKUP(B28,emp_info!$C$3:$V$100,20,FALSE),0)</f>
        <v>#N/A</v>
      </c>
      <c r="G28" s="10"/>
      <c r="H28" s="11" t="str">
        <f t="shared" si="11"/>
        <v/>
      </c>
      <c r="I28" s="17">
        <f t="shared" si="1"/>
        <v>43404</v>
      </c>
      <c r="J28" s="21">
        <f t="shared" si="2"/>
        <v>43404</v>
      </c>
      <c r="K28" s="19">
        <f t="shared" si="3"/>
        <v>43374</v>
      </c>
      <c r="L28" s="19">
        <f t="shared" si="4"/>
        <v>43404</v>
      </c>
      <c r="M28" s="18">
        <f t="shared" si="5"/>
        <v>43374</v>
      </c>
      <c r="N28" s="18">
        <f t="shared" si="6"/>
        <v>43404</v>
      </c>
      <c r="O28" s="7" t="str">
        <f t="shared" si="7"/>
        <v xml:space="preserve">Ноль </v>
      </c>
      <c r="P28" s="7" t="str">
        <f t="shared" si="8"/>
        <v>Долларов</v>
      </c>
      <c r="Q28" s="25">
        <f t="shared" si="9"/>
        <v>43417</v>
      </c>
      <c r="R28" s="26">
        <f t="shared" si="9"/>
        <v>43417</v>
      </c>
      <c r="S28" s="26">
        <f t="shared" si="10"/>
        <v>43423</v>
      </c>
      <c r="T28" s="7" t="e">
        <f>VLOOKUP($B28,emp_info!$C$3:$U$100,2,FALSE)</f>
        <v>#N/A</v>
      </c>
      <c r="U28" s="7" t="e">
        <f>VLOOKUP($B28,emp_info!$C$3:$U$100,3,FALSE)</f>
        <v>#N/A</v>
      </c>
      <c r="V28" s="25" t="e">
        <f>VLOOKUP($B28,emp_info!$C$3:$U$100,4,FALSE)</f>
        <v>#N/A</v>
      </c>
      <c r="W28" s="7" t="e">
        <f>VLOOKUP($B28,emp_info!$C$3:$U$100,5,FALSE)</f>
        <v>#N/A</v>
      </c>
      <c r="X28" s="25" t="e">
        <f>VLOOKUP($B28,emp_info!$C$3:$U$100,6,FALSE)</f>
        <v>#N/A</v>
      </c>
      <c r="Y28" s="7" t="e">
        <f>VLOOKUP($B28,emp_info!$C$3:$U$100,7,FALSE)</f>
        <v>#N/A</v>
      </c>
      <c r="Z28" s="7" t="e">
        <f>VLOOKUP($B28,emp_info!$C$3:$U$100,8,FALSE)</f>
        <v>#N/A</v>
      </c>
      <c r="AA28" s="7" t="e">
        <f>VLOOKUP($B28,emp_info!$C$3:$U$100,11,FALSE)</f>
        <v>#N/A</v>
      </c>
      <c r="AB28" s="7" t="e">
        <f>VLOOKUP($B28,emp_info!$C$3:$U$100,12,FALSE)</f>
        <v>#N/A</v>
      </c>
      <c r="AC28" s="7" t="e">
        <f>VLOOKUP($B28,emp_info!$C$3:$U$100,13,FALSE)</f>
        <v>#N/A</v>
      </c>
      <c r="AD28" s="7" t="e">
        <f>VLOOKUP($B28,emp_info!$C$3:$U$100,14,FALSE)</f>
        <v>#N/A</v>
      </c>
      <c r="AE28" s="7" t="e">
        <f>VLOOKUP($B28,emp_info!$C$3:$U$100,15,FALSE)</f>
        <v>#N/A</v>
      </c>
      <c r="AF28" s="7" t="e">
        <f>VLOOKUP($B28,emp_info!$C$3:$U$100,16,FALSE)</f>
        <v>#N/A</v>
      </c>
      <c r="AG28" s="7" t="e">
        <f>VLOOKUP($B28,emp_info!$C$3:$U$100,17,FALSE)</f>
        <v>#N/A</v>
      </c>
      <c r="AH28" s="7" t="e">
        <f>VLOOKUP($B28,emp_info!$C$3:$U$100,18,FALSE)</f>
        <v>#N/A</v>
      </c>
      <c r="AI28" s="7" t="e">
        <f>VLOOKUP($G28,contragent!$B$3:$I$10,2,FALSE)</f>
        <v>#N/A</v>
      </c>
      <c r="AJ28" s="7" t="e">
        <f>VLOOKUP($G28,contragent!$B$3:$I$10,3,FALSE)</f>
        <v>#N/A</v>
      </c>
      <c r="AK28" s="7" t="e">
        <f>VLOOKUP($G28,contragent!$B$3:$I$10,4,FALSE)</f>
        <v>#N/A</v>
      </c>
      <c r="AL28" s="7" t="e">
        <f>VLOOKUP($G28,contragent!$B$3:$I$10,5,FALSE)</f>
        <v>#N/A</v>
      </c>
      <c r="AM28" s="7" t="e">
        <f>VLOOKUP($G28,contragent!$B$3:$I$10,6,FALSE)</f>
        <v>#N/A</v>
      </c>
      <c r="AN28" s="7" t="e">
        <f>VLOOKUP($G28,contragent!$B$3:$I$10,7,FALSE)</f>
        <v>#N/A</v>
      </c>
      <c r="AO28" s="7" t="e">
        <f>VLOOKUP($G28,contragent!$B$3:$I$10,8,FALSE)</f>
        <v>#N/A</v>
      </c>
    </row>
    <row r="29" spans="2:41" x14ac:dyDescent="0.25">
      <c r="B29" s="9"/>
      <c r="C29" s="11">
        <f t="shared" si="0"/>
        <v>0</v>
      </c>
      <c r="D29" s="9">
        <f>IFERROR(VLOOKUP($B29,emp_info!$C$3:$U$100,19,FALSE),0)</f>
        <v>0</v>
      </c>
      <c r="E29" s="15">
        <v>0</v>
      </c>
      <c r="F29" s="9" t="e">
        <f>DATEDIF(VLOOKUP(B29,emp_info!$C$3:$U$100,6,FALSE),DATE($A$10,$A$8,DAY(VLOOKUP(B29,emp_info!$C$3:$U$100,6,FALSE))),"m")+_xlfn.IFNA(VLOOKUP(B29,emp_info!$C$3:$V$100,20,FALSE),0)</f>
        <v>#N/A</v>
      </c>
      <c r="G29" s="10"/>
      <c r="H29" s="11" t="str">
        <f t="shared" si="11"/>
        <v/>
      </c>
      <c r="I29" s="17">
        <f t="shared" si="1"/>
        <v>43404</v>
      </c>
      <c r="J29" s="21">
        <f t="shared" si="2"/>
        <v>43404</v>
      </c>
      <c r="K29" s="19">
        <f t="shared" si="3"/>
        <v>43374</v>
      </c>
      <c r="L29" s="19">
        <f t="shared" si="4"/>
        <v>43404</v>
      </c>
      <c r="M29" s="18">
        <f t="shared" si="5"/>
        <v>43374</v>
      </c>
      <c r="N29" s="18">
        <f t="shared" si="6"/>
        <v>43404</v>
      </c>
      <c r="O29" s="7" t="str">
        <f t="shared" si="7"/>
        <v xml:space="preserve">Ноль </v>
      </c>
      <c r="P29" s="7" t="str">
        <f t="shared" si="8"/>
        <v>Долларов</v>
      </c>
      <c r="Q29" s="25">
        <f t="shared" si="9"/>
        <v>43417</v>
      </c>
      <c r="R29" s="26">
        <f t="shared" si="9"/>
        <v>43417</v>
      </c>
      <c r="S29" s="26">
        <f t="shared" si="10"/>
        <v>43423</v>
      </c>
      <c r="T29" s="7" t="e">
        <f>VLOOKUP($B29,emp_info!$C$3:$U$100,2,FALSE)</f>
        <v>#N/A</v>
      </c>
      <c r="U29" s="7" t="e">
        <f>VLOOKUP($B29,emp_info!$C$3:$U$100,3,FALSE)</f>
        <v>#N/A</v>
      </c>
      <c r="V29" s="25" t="e">
        <f>VLOOKUP($B29,emp_info!$C$3:$U$100,4,FALSE)</f>
        <v>#N/A</v>
      </c>
      <c r="W29" s="7" t="e">
        <f>VLOOKUP($B29,emp_info!$C$3:$U$100,5,FALSE)</f>
        <v>#N/A</v>
      </c>
      <c r="X29" s="25" t="e">
        <f>VLOOKUP($B29,emp_info!$C$3:$U$100,6,FALSE)</f>
        <v>#N/A</v>
      </c>
      <c r="Y29" s="7" t="e">
        <f>VLOOKUP($B29,emp_info!$C$3:$U$100,7,FALSE)</f>
        <v>#N/A</v>
      </c>
      <c r="Z29" s="7" t="e">
        <f>VLOOKUP($B29,emp_info!$C$3:$U$100,8,FALSE)</f>
        <v>#N/A</v>
      </c>
      <c r="AA29" s="7" t="e">
        <f>VLOOKUP($B29,emp_info!$C$3:$U$100,11,FALSE)</f>
        <v>#N/A</v>
      </c>
      <c r="AB29" s="7" t="e">
        <f>VLOOKUP($B29,emp_info!$C$3:$U$100,12,FALSE)</f>
        <v>#N/A</v>
      </c>
      <c r="AC29" s="7" t="e">
        <f>VLOOKUP($B29,emp_info!$C$3:$U$100,13,FALSE)</f>
        <v>#N/A</v>
      </c>
      <c r="AD29" s="7" t="e">
        <f>VLOOKUP($B29,emp_info!$C$3:$U$100,14,FALSE)</f>
        <v>#N/A</v>
      </c>
      <c r="AE29" s="7" t="e">
        <f>VLOOKUP($B29,emp_info!$C$3:$U$100,15,FALSE)</f>
        <v>#N/A</v>
      </c>
      <c r="AF29" s="7" t="e">
        <f>VLOOKUP($B29,emp_info!$C$3:$U$100,16,FALSE)</f>
        <v>#N/A</v>
      </c>
      <c r="AG29" s="7" t="e">
        <f>VLOOKUP($B29,emp_info!$C$3:$U$100,17,FALSE)</f>
        <v>#N/A</v>
      </c>
      <c r="AH29" s="7" t="e">
        <f>VLOOKUP($B29,emp_info!$C$3:$U$100,18,FALSE)</f>
        <v>#N/A</v>
      </c>
      <c r="AI29" s="7" t="e">
        <f>VLOOKUP($G29,contragent!$B$3:$I$10,2,FALSE)</f>
        <v>#N/A</v>
      </c>
      <c r="AJ29" s="7" t="e">
        <f>VLOOKUP($G29,contragent!$B$3:$I$10,3,FALSE)</f>
        <v>#N/A</v>
      </c>
      <c r="AK29" s="7" t="e">
        <f>VLOOKUP($G29,contragent!$B$3:$I$10,4,FALSE)</f>
        <v>#N/A</v>
      </c>
      <c r="AL29" s="7" t="e">
        <f>VLOOKUP($G29,contragent!$B$3:$I$10,5,FALSE)</f>
        <v>#N/A</v>
      </c>
      <c r="AM29" s="7" t="e">
        <f>VLOOKUP($G29,contragent!$B$3:$I$10,6,FALSE)</f>
        <v>#N/A</v>
      </c>
      <c r="AN29" s="7" t="e">
        <f>VLOOKUP($G29,contragent!$B$3:$I$10,7,FALSE)</f>
        <v>#N/A</v>
      </c>
      <c r="AO29" s="7" t="e">
        <f>VLOOKUP($G29,contragent!$B$3:$I$10,8,FALSE)</f>
        <v>#N/A</v>
      </c>
    </row>
    <row r="30" spans="2:41" x14ac:dyDescent="0.25">
      <c r="B30" s="9"/>
      <c r="C30" s="11">
        <f t="shared" si="0"/>
        <v>0</v>
      </c>
      <c r="D30" s="9">
        <f>IFERROR(VLOOKUP($B30,emp_info!$C$3:$U$100,19,FALSE),0)</f>
        <v>0</v>
      </c>
      <c r="E30" s="15">
        <v>0</v>
      </c>
      <c r="F30" s="9" t="e">
        <f>DATEDIF(VLOOKUP(B30,emp_info!$C$3:$U$100,6,FALSE),DATE($A$10,$A$8,DAY(VLOOKUP(B30,emp_info!$C$3:$U$100,6,FALSE))),"m")+_xlfn.IFNA(VLOOKUP(B30,emp_info!$C$3:$V$100,20,FALSE),0)</f>
        <v>#N/A</v>
      </c>
      <c r="G30" s="10"/>
      <c r="H30" s="11" t="str">
        <f t="shared" si="11"/>
        <v/>
      </c>
      <c r="I30" s="17">
        <f t="shared" si="1"/>
        <v>43404</v>
      </c>
      <c r="J30" s="21">
        <f t="shared" si="2"/>
        <v>43404</v>
      </c>
      <c r="K30" s="19">
        <f t="shared" si="3"/>
        <v>43374</v>
      </c>
      <c r="L30" s="19">
        <f t="shared" si="4"/>
        <v>43404</v>
      </c>
      <c r="M30" s="18">
        <f t="shared" si="5"/>
        <v>43374</v>
      </c>
      <c r="N30" s="18">
        <f t="shared" si="6"/>
        <v>43404</v>
      </c>
      <c r="O30" s="7" t="str">
        <f t="shared" si="7"/>
        <v xml:space="preserve">Ноль </v>
      </c>
      <c r="P30" s="7" t="str">
        <f t="shared" si="8"/>
        <v>Долларов</v>
      </c>
      <c r="Q30" s="25">
        <f t="shared" si="9"/>
        <v>43417</v>
      </c>
      <c r="R30" s="26">
        <f t="shared" si="9"/>
        <v>43417</v>
      </c>
      <c r="S30" s="26">
        <f t="shared" si="10"/>
        <v>43423</v>
      </c>
      <c r="T30" s="7" t="e">
        <f>VLOOKUP($B30,emp_info!$C$3:$U$100,2,FALSE)</f>
        <v>#N/A</v>
      </c>
      <c r="U30" s="7" t="e">
        <f>VLOOKUP($B30,emp_info!$C$3:$U$100,3,FALSE)</f>
        <v>#N/A</v>
      </c>
      <c r="V30" s="25" t="e">
        <f>VLOOKUP($B30,emp_info!$C$3:$U$100,4,FALSE)</f>
        <v>#N/A</v>
      </c>
      <c r="W30" s="7" t="e">
        <f>VLOOKUP($B30,emp_info!$C$3:$U$100,5,FALSE)</f>
        <v>#N/A</v>
      </c>
      <c r="X30" s="25" t="e">
        <f>VLOOKUP($B30,emp_info!$C$3:$U$100,6,FALSE)</f>
        <v>#N/A</v>
      </c>
      <c r="Y30" s="7" t="e">
        <f>VLOOKUP($B30,emp_info!$C$3:$U$100,7,FALSE)</f>
        <v>#N/A</v>
      </c>
      <c r="Z30" s="7" t="e">
        <f>VLOOKUP($B30,emp_info!$C$3:$U$100,8,FALSE)</f>
        <v>#N/A</v>
      </c>
      <c r="AA30" s="7" t="e">
        <f>VLOOKUP($B30,emp_info!$C$3:$U$100,11,FALSE)</f>
        <v>#N/A</v>
      </c>
      <c r="AB30" s="7" t="e">
        <f>VLOOKUP($B30,emp_info!$C$3:$U$100,12,FALSE)</f>
        <v>#N/A</v>
      </c>
      <c r="AC30" s="7" t="e">
        <f>VLOOKUP($B30,emp_info!$C$3:$U$100,13,FALSE)</f>
        <v>#N/A</v>
      </c>
      <c r="AD30" s="7" t="e">
        <f>VLOOKUP($B30,emp_info!$C$3:$U$100,14,FALSE)</f>
        <v>#N/A</v>
      </c>
      <c r="AE30" s="7" t="e">
        <f>VLOOKUP($B30,emp_info!$C$3:$U$100,15,FALSE)</f>
        <v>#N/A</v>
      </c>
      <c r="AF30" s="7" t="e">
        <f>VLOOKUP($B30,emp_info!$C$3:$U$100,16,FALSE)</f>
        <v>#N/A</v>
      </c>
      <c r="AG30" s="7" t="e">
        <f>VLOOKUP($B30,emp_info!$C$3:$U$100,17,FALSE)</f>
        <v>#N/A</v>
      </c>
      <c r="AH30" s="7" t="e">
        <f>VLOOKUP($B30,emp_info!$C$3:$U$100,18,FALSE)</f>
        <v>#N/A</v>
      </c>
      <c r="AI30" s="7" t="e">
        <f>VLOOKUP($G30,contragent!$B$3:$I$10,2,FALSE)</f>
        <v>#N/A</v>
      </c>
      <c r="AJ30" s="7" t="e">
        <f>VLOOKUP($G30,contragent!$B$3:$I$10,3,FALSE)</f>
        <v>#N/A</v>
      </c>
      <c r="AK30" s="7" t="e">
        <f>VLOOKUP($G30,contragent!$B$3:$I$10,4,FALSE)</f>
        <v>#N/A</v>
      </c>
      <c r="AL30" s="7" t="e">
        <f>VLOOKUP($G30,contragent!$B$3:$I$10,5,FALSE)</f>
        <v>#N/A</v>
      </c>
      <c r="AM30" s="7" t="e">
        <f>VLOOKUP($G30,contragent!$B$3:$I$10,6,FALSE)</f>
        <v>#N/A</v>
      </c>
      <c r="AN30" s="7" t="e">
        <f>VLOOKUP($G30,contragent!$B$3:$I$10,7,FALSE)</f>
        <v>#N/A</v>
      </c>
      <c r="AO30" s="7" t="e">
        <f>VLOOKUP($G30,contragent!$B$3:$I$10,8,FALSE)</f>
        <v>#N/A</v>
      </c>
    </row>
    <row r="31" spans="2:41" x14ac:dyDescent="0.25">
      <c r="B31" s="9"/>
      <c r="C31" s="11">
        <f t="shared" si="0"/>
        <v>0</v>
      </c>
      <c r="D31" s="9">
        <f>IFERROR(VLOOKUP($B31,emp_info!$C$3:$U$100,19,FALSE),0)</f>
        <v>0</v>
      </c>
      <c r="E31" s="15">
        <v>0</v>
      </c>
      <c r="F31" s="9" t="e">
        <f>DATEDIF(VLOOKUP(B31,emp_info!$C$3:$U$100,6,FALSE),DATE($A$10,$A$8,DAY(VLOOKUP(B31,emp_info!$C$3:$U$100,6,FALSE))),"m")+_xlfn.IFNA(VLOOKUP(B31,emp_info!$C$3:$V$100,20,FALSE),0)</f>
        <v>#N/A</v>
      </c>
      <c r="G31" s="10"/>
      <c r="H31" s="11" t="str">
        <f t="shared" si="11"/>
        <v/>
      </c>
      <c r="I31" s="17">
        <f t="shared" si="1"/>
        <v>43404</v>
      </c>
      <c r="J31" s="21">
        <f t="shared" si="2"/>
        <v>43404</v>
      </c>
      <c r="K31" s="19">
        <f t="shared" si="3"/>
        <v>43374</v>
      </c>
      <c r="L31" s="19">
        <f t="shared" si="4"/>
        <v>43404</v>
      </c>
      <c r="M31" s="18">
        <f t="shared" si="5"/>
        <v>43374</v>
      </c>
      <c r="N31" s="18">
        <f t="shared" si="6"/>
        <v>43404</v>
      </c>
      <c r="O31" s="7" t="str">
        <f t="shared" si="7"/>
        <v xml:space="preserve">Ноль </v>
      </c>
      <c r="P31" s="7" t="str">
        <f t="shared" si="8"/>
        <v>Долларов</v>
      </c>
      <c r="Q31" s="25">
        <f t="shared" si="9"/>
        <v>43417</v>
      </c>
      <c r="R31" s="26">
        <f t="shared" si="9"/>
        <v>43417</v>
      </c>
      <c r="S31" s="26">
        <f t="shared" si="10"/>
        <v>43423</v>
      </c>
      <c r="T31" s="7" t="e">
        <f>VLOOKUP($B31,emp_info!$C$3:$U$100,2,FALSE)</f>
        <v>#N/A</v>
      </c>
      <c r="U31" s="7" t="e">
        <f>VLOOKUP($B31,emp_info!$C$3:$U$100,3,FALSE)</f>
        <v>#N/A</v>
      </c>
      <c r="V31" s="25" t="e">
        <f>VLOOKUP($B31,emp_info!$C$3:$U$100,4,FALSE)</f>
        <v>#N/A</v>
      </c>
      <c r="W31" s="7" t="e">
        <f>VLOOKUP($B31,emp_info!$C$3:$U$100,5,FALSE)</f>
        <v>#N/A</v>
      </c>
      <c r="X31" s="25" t="e">
        <f>VLOOKUP($B31,emp_info!$C$3:$U$100,6,FALSE)</f>
        <v>#N/A</v>
      </c>
      <c r="Y31" s="7" t="e">
        <f>VLOOKUP($B31,emp_info!$C$3:$U$100,7,FALSE)</f>
        <v>#N/A</v>
      </c>
      <c r="Z31" s="7" t="e">
        <f>VLOOKUP($B31,emp_info!$C$3:$U$100,8,FALSE)</f>
        <v>#N/A</v>
      </c>
      <c r="AA31" s="7" t="e">
        <f>VLOOKUP($B31,emp_info!$C$3:$U$100,11,FALSE)</f>
        <v>#N/A</v>
      </c>
      <c r="AB31" s="7" t="e">
        <f>VLOOKUP($B31,emp_info!$C$3:$U$100,12,FALSE)</f>
        <v>#N/A</v>
      </c>
      <c r="AC31" s="7" t="e">
        <f>VLOOKUP($B31,emp_info!$C$3:$U$100,13,FALSE)</f>
        <v>#N/A</v>
      </c>
      <c r="AD31" s="7" t="e">
        <f>VLOOKUP($B31,emp_info!$C$3:$U$100,14,FALSE)</f>
        <v>#N/A</v>
      </c>
      <c r="AE31" s="7" t="e">
        <f>VLOOKUP($B31,emp_info!$C$3:$U$100,15,FALSE)</f>
        <v>#N/A</v>
      </c>
      <c r="AF31" s="7" t="e">
        <f>VLOOKUP($B31,emp_info!$C$3:$U$100,16,FALSE)</f>
        <v>#N/A</v>
      </c>
      <c r="AG31" s="7" t="e">
        <f>VLOOKUP($B31,emp_info!$C$3:$U$100,17,FALSE)</f>
        <v>#N/A</v>
      </c>
      <c r="AH31" s="7" t="e">
        <f>VLOOKUP($B31,emp_info!$C$3:$U$100,18,FALSE)</f>
        <v>#N/A</v>
      </c>
      <c r="AI31" s="7" t="e">
        <f>VLOOKUP($G31,contragent!$B$3:$I$10,2,FALSE)</f>
        <v>#N/A</v>
      </c>
      <c r="AJ31" s="7" t="e">
        <f>VLOOKUP($G31,contragent!$B$3:$I$10,3,FALSE)</f>
        <v>#N/A</v>
      </c>
      <c r="AK31" s="7" t="e">
        <f>VLOOKUP($G31,contragent!$B$3:$I$10,4,FALSE)</f>
        <v>#N/A</v>
      </c>
      <c r="AL31" s="7" t="e">
        <f>VLOOKUP($G31,contragent!$B$3:$I$10,5,FALSE)</f>
        <v>#N/A</v>
      </c>
      <c r="AM31" s="7" t="e">
        <f>VLOOKUP($G31,contragent!$B$3:$I$10,6,FALSE)</f>
        <v>#N/A</v>
      </c>
      <c r="AN31" s="7" t="e">
        <f>VLOOKUP($G31,contragent!$B$3:$I$10,7,FALSE)</f>
        <v>#N/A</v>
      </c>
      <c r="AO31" s="7" t="e">
        <f>VLOOKUP($G31,contragent!$B$3:$I$10,8,FALSE)</f>
        <v>#N/A</v>
      </c>
    </row>
    <row r="32" spans="2:41" x14ac:dyDescent="0.25">
      <c r="B32" s="9"/>
      <c r="C32" s="11">
        <f t="shared" si="0"/>
        <v>0</v>
      </c>
      <c r="D32" s="9">
        <f>IFERROR(VLOOKUP($B32,emp_info!$C$3:$U$100,19,FALSE),0)</f>
        <v>0</v>
      </c>
      <c r="E32" s="15">
        <v>0</v>
      </c>
      <c r="F32" s="9" t="e">
        <f>DATEDIF(VLOOKUP(B32,emp_info!$C$3:$U$100,6,FALSE),DATE($A$10,$A$8,DAY(VLOOKUP(B32,emp_info!$C$3:$U$100,6,FALSE))),"m")+_xlfn.IFNA(VLOOKUP(B32,emp_info!$C$3:$V$100,20,FALSE),0)</f>
        <v>#N/A</v>
      </c>
      <c r="G32" s="10"/>
      <c r="H32" s="11" t="str">
        <f t="shared" si="11"/>
        <v/>
      </c>
      <c r="I32" s="17">
        <f t="shared" si="1"/>
        <v>43404</v>
      </c>
      <c r="J32" s="21">
        <f t="shared" si="2"/>
        <v>43404</v>
      </c>
      <c r="K32" s="19">
        <f t="shared" si="3"/>
        <v>43374</v>
      </c>
      <c r="L32" s="19">
        <f t="shared" si="4"/>
        <v>43404</v>
      </c>
      <c r="M32" s="18">
        <f t="shared" si="5"/>
        <v>43374</v>
      </c>
      <c r="N32" s="18">
        <f t="shared" si="6"/>
        <v>43404</v>
      </c>
      <c r="O32" s="7" t="str">
        <f t="shared" si="7"/>
        <v xml:space="preserve">Ноль </v>
      </c>
      <c r="P32" s="7" t="str">
        <f t="shared" si="8"/>
        <v>Долларов</v>
      </c>
      <c r="Q32" s="25">
        <f t="shared" si="9"/>
        <v>43417</v>
      </c>
      <c r="R32" s="26">
        <f t="shared" si="9"/>
        <v>43417</v>
      </c>
      <c r="S32" s="26">
        <f t="shared" si="10"/>
        <v>43423</v>
      </c>
      <c r="T32" s="7" t="e">
        <f>VLOOKUP($B32,emp_info!$C$3:$U$100,2,FALSE)</f>
        <v>#N/A</v>
      </c>
      <c r="U32" s="7" t="e">
        <f>VLOOKUP($B32,emp_info!$C$3:$U$100,3,FALSE)</f>
        <v>#N/A</v>
      </c>
      <c r="V32" s="25" t="e">
        <f>VLOOKUP($B32,emp_info!$C$3:$U$100,4,FALSE)</f>
        <v>#N/A</v>
      </c>
      <c r="W32" s="7" t="e">
        <f>VLOOKUP($B32,emp_info!$C$3:$U$100,5,FALSE)</f>
        <v>#N/A</v>
      </c>
      <c r="X32" s="25" t="e">
        <f>VLOOKUP($B32,emp_info!$C$3:$U$100,6,FALSE)</f>
        <v>#N/A</v>
      </c>
      <c r="Y32" s="7" t="e">
        <f>VLOOKUP($B32,emp_info!$C$3:$U$100,7,FALSE)</f>
        <v>#N/A</v>
      </c>
      <c r="Z32" s="7" t="e">
        <f>VLOOKUP($B32,emp_info!$C$3:$U$100,8,FALSE)</f>
        <v>#N/A</v>
      </c>
      <c r="AA32" s="7" t="e">
        <f>VLOOKUP($B32,emp_info!$C$3:$U$100,11,FALSE)</f>
        <v>#N/A</v>
      </c>
      <c r="AB32" s="7" t="e">
        <f>VLOOKUP($B32,emp_info!$C$3:$U$100,12,FALSE)</f>
        <v>#N/A</v>
      </c>
      <c r="AC32" s="7" t="e">
        <f>VLOOKUP($B32,emp_info!$C$3:$U$100,13,FALSE)</f>
        <v>#N/A</v>
      </c>
      <c r="AD32" s="7" t="e">
        <f>VLOOKUP($B32,emp_info!$C$3:$U$100,14,FALSE)</f>
        <v>#N/A</v>
      </c>
      <c r="AE32" s="7" t="e">
        <f>VLOOKUP($B32,emp_info!$C$3:$U$100,15,FALSE)</f>
        <v>#N/A</v>
      </c>
      <c r="AF32" s="7" t="e">
        <f>VLOOKUP($B32,emp_info!$C$3:$U$100,16,FALSE)</f>
        <v>#N/A</v>
      </c>
      <c r="AG32" s="7" t="e">
        <f>VLOOKUP($B32,emp_info!$C$3:$U$100,17,FALSE)</f>
        <v>#N/A</v>
      </c>
      <c r="AH32" s="7" t="e">
        <f>VLOOKUP($B32,emp_info!$C$3:$U$100,18,FALSE)</f>
        <v>#N/A</v>
      </c>
      <c r="AI32" s="7" t="e">
        <f>VLOOKUP($G32,contragent!$B$3:$I$10,2,FALSE)</f>
        <v>#N/A</v>
      </c>
      <c r="AJ32" s="7" t="e">
        <f>VLOOKUP($G32,contragent!$B$3:$I$10,3,FALSE)</f>
        <v>#N/A</v>
      </c>
      <c r="AK32" s="7" t="e">
        <f>VLOOKUP($G32,contragent!$B$3:$I$10,4,FALSE)</f>
        <v>#N/A</v>
      </c>
      <c r="AL32" s="7" t="e">
        <f>VLOOKUP($G32,contragent!$B$3:$I$10,5,FALSE)</f>
        <v>#N/A</v>
      </c>
      <c r="AM32" s="7" t="e">
        <f>VLOOKUP($G32,contragent!$B$3:$I$10,6,FALSE)</f>
        <v>#N/A</v>
      </c>
      <c r="AN32" s="7" t="e">
        <f>VLOOKUP($G32,contragent!$B$3:$I$10,7,FALSE)</f>
        <v>#N/A</v>
      </c>
      <c r="AO32" s="7" t="e">
        <f>VLOOKUP($G32,contragent!$B$3:$I$10,8,FALSE)</f>
        <v>#N/A</v>
      </c>
    </row>
    <row r="33" spans="2:41" x14ac:dyDescent="0.25">
      <c r="B33" s="9"/>
      <c r="C33" s="11">
        <f t="shared" si="0"/>
        <v>0</v>
      </c>
      <c r="D33" s="9">
        <f>IFERROR(VLOOKUP($B33,emp_info!$C$3:$U$100,19,FALSE),0)</f>
        <v>0</v>
      </c>
      <c r="E33" s="15">
        <v>0</v>
      </c>
      <c r="F33" s="9" t="e">
        <f>DATEDIF(VLOOKUP(B33,emp_info!$C$3:$U$100,6,FALSE),DATE($A$10,$A$8,DAY(VLOOKUP(B33,emp_info!$C$3:$U$100,6,FALSE))),"m")+_xlfn.IFNA(VLOOKUP(B33,emp_info!$C$3:$V$100,20,FALSE),0)</f>
        <v>#N/A</v>
      </c>
      <c r="G33" s="10"/>
      <c r="H33" s="11" t="str">
        <f t="shared" si="11"/>
        <v/>
      </c>
      <c r="I33" s="17">
        <f t="shared" si="1"/>
        <v>43404</v>
      </c>
      <c r="J33" s="21">
        <f t="shared" si="2"/>
        <v>43404</v>
      </c>
      <c r="K33" s="19">
        <f t="shared" si="3"/>
        <v>43374</v>
      </c>
      <c r="L33" s="19">
        <f t="shared" si="4"/>
        <v>43404</v>
      </c>
      <c r="M33" s="18">
        <f t="shared" si="5"/>
        <v>43374</v>
      </c>
      <c r="N33" s="18">
        <f t="shared" si="6"/>
        <v>43404</v>
      </c>
      <c r="O33" s="7" t="str">
        <f t="shared" si="7"/>
        <v xml:space="preserve">Ноль </v>
      </c>
      <c r="P33" s="7" t="str">
        <f t="shared" si="8"/>
        <v>Долларов</v>
      </c>
      <c r="Q33" s="25">
        <f t="shared" si="9"/>
        <v>43417</v>
      </c>
      <c r="R33" s="26">
        <f t="shared" si="9"/>
        <v>43417</v>
      </c>
      <c r="S33" s="26">
        <f t="shared" si="10"/>
        <v>43423</v>
      </c>
      <c r="T33" s="7" t="e">
        <f>VLOOKUP($B33,emp_info!$C$3:$U$100,2,FALSE)</f>
        <v>#N/A</v>
      </c>
      <c r="U33" s="7" t="e">
        <f>VLOOKUP($B33,emp_info!$C$3:$U$100,3,FALSE)</f>
        <v>#N/A</v>
      </c>
      <c r="V33" s="25" t="e">
        <f>VLOOKUP($B33,emp_info!$C$3:$U$100,4,FALSE)</f>
        <v>#N/A</v>
      </c>
      <c r="W33" s="7" t="e">
        <f>VLOOKUP($B33,emp_info!$C$3:$U$100,5,FALSE)</f>
        <v>#N/A</v>
      </c>
      <c r="X33" s="25" t="e">
        <f>VLOOKUP($B33,emp_info!$C$3:$U$100,6,FALSE)</f>
        <v>#N/A</v>
      </c>
      <c r="Y33" s="7" t="e">
        <f>VLOOKUP($B33,emp_info!$C$3:$U$100,7,FALSE)</f>
        <v>#N/A</v>
      </c>
      <c r="Z33" s="7" t="e">
        <f>VLOOKUP($B33,emp_info!$C$3:$U$100,8,FALSE)</f>
        <v>#N/A</v>
      </c>
      <c r="AA33" s="7" t="e">
        <f>VLOOKUP($B33,emp_info!$C$3:$U$100,11,FALSE)</f>
        <v>#N/A</v>
      </c>
      <c r="AB33" s="7" t="e">
        <f>VLOOKUP($B33,emp_info!$C$3:$U$100,12,FALSE)</f>
        <v>#N/A</v>
      </c>
      <c r="AC33" s="7" t="e">
        <f>VLOOKUP($B33,emp_info!$C$3:$U$100,13,FALSE)</f>
        <v>#N/A</v>
      </c>
      <c r="AD33" s="7" t="e">
        <f>VLOOKUP($B33,emp_info!$C$3:$U$100,14,FALSE)</f>
        <v>#N/A</v>
      </c>
      <c r="AE33" s="7" t="e">
        <f>VLOOKUP($B33,emp_info!$C$3:$U$100,15,FALSE)</f>
        <v>#N/A</v>
      </c>
      <c r="AF33" s="7" t="e">
        <f>VLOOKUP($B33,emp_info!$C$3:$U$100,16,FALSE)</f>
        <v>#N/A</v>
      </c>
      <c r="AG33" s="7" t="e">
        <f>VLOOKUP($B33,emp_info!$C$3:$U$100,17,FALSE)</f>
        <v>#N/A</v>
      </c>
      <c r="AH33" s="7" t="e">
        <f>VLOOKUP($B33,emp_info!$C$3:$U$100,18,FALSE)</f>
        <v>#N/A</v>
      </c>
      <c r="AI33" s="7" t="e">
        <f>VLOOKUP($G33,contragent!$B$3:$I$10,2,FALSE)</f>
        <v>#N/A</v>
      </c>
      <c r="AJ33" s="7" t="e">
        <f>VLOOKUP($G33,contragent!$B$3:$I$10,3,FALSE)</f>
        <v>#N/A</v>
      </c>
      <c r="AK33" s="7" t="e">
        <f>VLOOKUP($G33,contragent!$B$3:$I$10,4,FALSE)</f>
        <v>#N/A</v>
      </c>
      <c r="AL33" s="7" t="e">
        <f>VLOOKUP($G33,contragent!$B$3:$I$10,5,FALSE)</f>
        <v>#N/A</v>
      </c>
      <c r="AM33" s="7" t="e">
        <f>VLOOKUP($G33,contragent!$B$3:$I$10,6,FALSE)</f>
        <v>#N/A</v>
      </c>
      <c r="AN33" s="7" t="e">
        <f>VLOOKUP($G33,contragent!$B$3:$I$10,7,FALSE)</f>
        <v>#N/A</v>
      </c>
      <c r="AO33" s="7" t="e">
        <f>VLOOKUP($G33,contragent!$B$3:$I$10,8,FALSE)</f>
        <v>#N/A</v>
      </c>
    </row>
    <row r="34" spans="2:41" x14ac:dyDescent="0.25">
      <c r="B34" s="9"/>
      <c r="C34" s="11">
        <f t="shared" si="0"/>
        <v>0</v>
      </c>
      <c r="D34" s="9">
        <f>IFERROR(VLOOKUP($B34,emp_info!$C$3:$U$100,19,FALSE),0)</f>
        <v>0</v>
      </c>
      <c r="E34" s="15">
        <v>0</v>
      </c>
      <c r="F34" s="9" t="e">
        <f>DATEDIF(VLOOKUP(B34,emp_info!$C$3:$U$100,6,FALSE),DATE($A$10,$A$8,DAY(VLOOKUP(B34,emp_info!$C$3:$U$100,6,FALSE))),"m")+_xlfn.IFNA(VLOOKUP(B34,emp_info!$C$3:$V$100,20,FALSE),0)</f>
        <v>#N/A</v>
      </c>
      <c r="G34" s="10"/>
      <c r="H34" s="11" t="str">
        <f t="shared" si="11"/>
        <v/>
      </c>
      <c r="I34" s="17">
        <f t="shared" si="1"/>
        <v>43404</v>
      </c>
      <c r="J34" s="21">
        <f t="shared" si="2"/>
        <v>43404</v>
      </c>
      <c r="K34" s="19">
        <f t="shared" si="3"/>
        <v>43374</v>
      </c>
      <c r="L34" s="19">
        <f t="shared" si="4"/>
        <v>43404</v>
      </c>
      <c r="M34" s="18">
        <f t="shared" si="5"/>
        <v>43374</v>
      </c>
      <c r="N34" s="18">
        <f t="shared" si="6"/>
        <v>43404</v>
      </c>
      <c r="O34" s="7" t="str">
        <f t="shared" si="7"/>
        <v xml:space="preserve">Ноль </v>
      </c>
      <c r="P34" s="7" t="str">
        <f t="shared" si="8"/>
        <v>Долларов</v>
      </c>
      <c r="Q34" s="25">
        <f t="shared" si="9"/>
        <v>43417</v>
      </c>
      <c r="R34" s="26">
        <f t="shared" si="9"/>
        <v>43417</v>
      </c>
      <c r="S34" s="26">
        <f t="shared" si="10"/>
        <v>43423</v>
      </c>
      <c r="T34" s="7" t="e">
        <f>VLOOKUP($B34,emp_info!$C$3:$U$100,2,FALSE)</f>
        <v>#N/A</v>
      </c>
      <c r="U34" s="7" t="e">
        <f>VLOOKUP($B34,emp_info!$C$3:$U$100,3,FALSE)</f>
        <v>#N/A</v>
      </c>
      <c r="V34" s="25" t="e">
        <f>VLOOKUP($B34,emp_info!$C$3:$U$100,4,FALSE)</f>
        <v>#N/A</v>
      </c>
      <c r="W34" s="7" t="e">
        <f>VLOOKUP($B34,emp_info!$C$3:$U$100,5,FALSE)</f>
        <v>#N/A</v>
      </c>
      <c r="X34" s="25" t="e">
        <f>VLOOKUP($B34,emp_info!$C$3:$U$100,6,FALSE)</f>
        <v>#N/A</v>
      </c>
      <c r="Y34" s="7" t="e">
        <f>VLOOKUP($B34,emp_info!$C$3:$U$100,7,FALSE)</f>
        <v>#N/A</v>
      </c>
      <c r="Z34" s="7" t="e">
        <f>VLOOKUP($B34,emp_info!$C$3:$U$100,8,FALSE)</f>
        <v>#N/A</v>
      </c>
      <c r="AA34" s="7" t="e">
        <f>VLOOKUP($B34,emp_info!$C$3:$U$100,11,FALSE)</f>
        <v>#N/A</v>
      </c>
      <c r="AB34" s="7" t="e">
        <f>VLOOKUP($B34,emp_info!$C$3:$U$100,12,FALSE)</f>
        <v>#N/A</v>
      </c>
      <c r="AC34" s="7" t="e">
        <f>VLOOKUP($B34,emp_info!$C$3:$U$100,13,FALSE)</f>
        <v>#N/A</v>
      </c>
      <c r="AD34" s="7" t="e">
        <f>VLOOKUP($B34,emp_info!$C$3:$U$100,14,FALSE)</f>
        <v>#N/A</v>
      </c>
      <c r="AE34" s="7" t="e">
        <f>VLOOKUP($B34,emp_info!$C$3:$U$100,15,FALSE)</f>
        <v>#N/A</v>
      </c>
      <c r="AF34" s="7" t="e">
        <f>VLOOKUP($B34,emp_info!$C$3:$U$100,16,FALSE)</f>
        <v>#N/A</v>
      </c>
      <c r="AG34" s="7" t="e">
        <f>VLOOKUP($B34,emp_info!$C$3:$U$100,17,FALSE)</f>
        <v>#N/A</v>
      </c>
      <c r="AH34" s="7" t="e">
        <f>VLOOKUP($B34,emp_info!$C$3:$U$100,18,FALSE)</f>
        <v>#N/A</v>
      </c>
      <c r="AI34" s="7" t="e">
        <f>VLOOKUP($G34,contragent!$B$3:$I$10,2,FALSE)</f>
        <v>#N/A</v>
      </c>
      <c r="AJ34" s="7" t="e">
        <f>VLOOKUP($G34,contragent!$B$3:$I$10,3,FALSE)</f>
        <v>#N/A</v>
      </c>
      <c r="AK34" s="7" t="e">
        <f>VLOOKUP($G34,contragent!$B$3:$I$10,4,FALSE)</f>
        <v>#N/A</v>
      </c>
      <c r="AL34" s="7" t="e">
        <f>VLOOKUP($G34,contragent!$B$3:$I$10,5,FALSE)</f>
        <v>#N/A</v>
      </c>
      <c r="AM34" s="7" t="e">
        <f>VLOOKUP($G34,contragent!$B$3:$I$10,6,FALSE)</f>
        <v>#N/A</v>
      </c>
      <c r="AN34" s="7" t="e">
        <f>VLOOKUP($G34,contragent!$B$3:$I$10,7,FALSE)</f>
        <v>#N/A</v>
      </c>
      <c r="AO34" s="7" t="e">
        <f>VLOOKUP($G34,contragent!$B$3:$I$10,8,FALSE)</f>
        <v>#N/A</v>
      </c>
    </row>
    <row r="35" spans="2:41" x14ac:dyDescent="0.25">
      <c r="B35" s="9"/>
      <c r="C35" s="11">
        <f t="shared" si="0"/>
        <v>0</v>
      </c>
      <c r="D35" s="9">
        <f>IFERROR(VLOOKUP($B35,emp_info!$C$3:$U$100,19,FALSE),0)</f>
        <v>0</v>
      </c>
      <c r="E35" s="15">
        <v>0</v>
      </c>
      <c r="F35" s="9" t="e">
        <f>DATEDIF(VLOOKUP(B35,emp_info!$C$3:$U$100,6,FALSE),DATE($A$10,$A$8,DAY(VLOOKUP(B35,emp_info!$C$3:$U$100,6,FALSE))),"m")+_xlfn.IFNA(VLOOKUP(B35,emp_info!$C$3:$V$100,20,FALSE),0)</f>
        <v>#N/A</v>
      </c>
      <c r="G35" s="10"/>
      <c r="H35" s="11" t="str">
        <f t="shared" si="11"/>
        <v/>
      </c>
      <c r="I35" s="17">
        <f t="shared" si="1"/>
        <v>43404</v>
      </c>
      <c r="J35" s="21">
        <f t="shared" si="2"/>
        <v>43404</v>
      </c>
      <c r="K35" s="19">
        <f t="shared" si="3"/>
        <v>43374</v>
      </c>
      <c r="L35" s="19">
        <f t="shared" si="4"/>
        <v>43404</v>
      </c>
      <c r="M35" s="18">
        <f t="shared" si="5"/>
        <v>43374</v>
      </c>
      <c r="N35" s="18">
        <f t="shared" si="6"/>
        <v>43404</v>
      </c>
      <c r="O35" s="7" t="str">
        <f t="shared" si="7"/>
        <v xml:space="preserve">Ноль </v>
      </c>
      <c r="P35" s="7" t="str">
        <f t="shared" si="8"/>
        <v>Долларов</v>
      </c>
      <c r="Q35" s="25">
        <f t="shared" si="9"/>
        <v>43417</v>
      </c>
      <c r="R35" s="26">
        <f t="shared" si="9"/>
        <v>43417</v>
      </c>
      <c r="S35" s="26">
        <f t="shared" si="10"/>
        <v>43423</v>
      </c>
      <c r="T35" s="7" t="e">
        <f>VLOOKUP($B35,emp_info!$C$3:$U$100,2,FALSE)</f>
        <v>#N/A</v>
      </c>
      <c r="U35" s="7" t="e">
        <f>VLOOKUP($B35,emp_info!$C$3:$U$100,3,FALSE)</f>
        <v>#N/A</v>
      </c>
      <c r="V35" s="25" t="e">
        <f>VLOOKUP($B35,emp_info!$C$3:$U$100,4,FALSE)</f>
        <v>#N/A</v>
      </c>
      <c r="W35" s="7" t="e">
        <f>VLOOKUP($B35,emp_info!$C$3:$U$100,5,FALSE)</f>
        <v>#N/A</v>
      </c>
      <c r="X35" s="25" t="e">
        <f>VLOOKUP($B35,emp_info!$C$3:$U$100,6,FALSE)</f>
        <v>#N/A</v>
      </c>
      <c r="Y35" s="7" t="e">
        <f>VLOOKUP($B35,emp_info!$C$3:$U$100,7,FALSE)</f>
        <v>#N/A</v>
      </c>
      <c r="Z35" s="7" t="e">
        <f>VLOOKUP($B35,emp_info!$C$3:$U$100,8,FALSE)</f>
        <v>#N/A</v>
      </c>
      <c r="AA35" s="7" t="e">
        <f>VLOOKUP($B35,emp_info!$C$3:$U$100,11,FALSE)</f>
        <v>#N/A</v>
      </c>
      <c r="AB35" s="7" t="e">
        <f>VLOOKUP($B35,emp_info!$C$3:$U$100,12,FALSE)</f>
        <v>#N/A</v>
      </c>
      <c r="AC35" s="7" t="e">
        <f>VLOOKUP($B35,emp_info!$C$3:$U$100,13,FALSE)</f>
        <v>#N/A</v>
      </c>
      <c r="AD35" s="7" t="e">
        <f>VLOOKUP($B35,emp_info!$C$3:$U$100,14,FALSE)</f>
        <v>#N/A</v>
      </c>
      <c r="AE35" s="7" t="e">
        <f>VLOOKUP($B35,emp_info!$C$3:$U$100,15,FALSE)</f>
        <v>#N/A</v>
      </c>
      <c r="AF35" s="7" t="e">
        <f>VLOOKUP($B35,emp_info!$C$3:$U$100,16,FALSE)</f>
        <v>#N/A</v>
      </c>
      <c r="AG35" s="7" t="e">
        <f>VLOOKUP($B35,emp_info!$C$3:$U$100,17,FALSE)</f>
        <v>#N/A</v>
      </c>
      <c r="AH35" s="7" t="e">
        <f>VLOOKUP($B35,emp_info!$C$3:$U$100,18,FALSE)</f>
        <v>#N/A</v>
      </c>
      <c r="AI35" s="7" t="e">
        <f>VLOOKUP($G35,contragent!$B$3:$I$10,2,FALSE)</f>
        <v>#N/A</v>
      </c>
      <c r="AJ35" s="7" t="e">
        <f>VLOOKUP($G35,contragent!$B$3:$I$10,3,FALSE)</f>
        <v>#N/A</v>
      </c>
      <c r="AK35" s="7" t="e">
        <f>VLOOKUP($G35,contragent!$B$3:$I$10,4,FALSE)</f>
        <v>#N/A</v>
      </c>
      <c r="AL35" s="7" t="e">
        <f>VLOOKUP($G35,contragent!$B$3:$I$10,5,FALSE)</f>
        <v>#N/A</v>
      </c>
      <c r="AM35" s="7" t="e">
        <f>VLOOKUP($G35,contragent!$B$3:$I$10,6,FALSE)</f>
        <v>#N/A</v>
      </c>
      <c r="AN35" s="7" t="e">
        <f>VLOOKUP($G35,contragent!$B$3:$I$10,7,FALSE)</f>
        <v>#N/A</v>
      </c>
      <c r="AO35" s="7" t="e">
        <f>VLOOKUP($G35,contragent!$B$3:$I$10,8,FALSE)</f>
        <v>#N/A</v>
      </c>
    </row>
    <row r="36" spans="2:41" x14ac:dyDescent="0.25">
      <c r="B36" s="9"/>
      <c r="C36" s="11">
        <f t="shared" si="0"/>
        <v>0</v>
      </c>
      <c r="D36" s="9">
        <f>IFERROR(VLOOKUP($B36,emp_info!$C$3:$U$100,19,FALSE),0)</f>
        <v>0</v>
      </c>
      <c r="E36" s="15">
        <v>0</v>
      </c>
      <c r="F36" s="9" t="e">
        <f>DATEDIF(VLOOKUP(B36,emp_info!$C$3:$U$100,6,FALSE),DATE($A$10,$A$8,DAY(VLOOKUP(B36,emp_info!$C$3:$U$100,6,FALSE))),"m")+_xlfn.IFNA(VLOOKUP(B36,emp_info!$C$3:$V$100,20,FALSE),0)</f>
        <v>#N/A</v>
      </c>
      <c r="G36" s="10"/>
      <c r="H36" s="11" t="str">
        <f t="shared" si="11"/>
        <v/>
      </c>
      <c r="I36" s="17">
        <f t="shared" si="1"/>
        <v>43404</v>
      </c>
      <c r="J36" s="21">
        <f t="shared" si="2"/>
        <v>43404</v>
      </c>
      <c r="K36" s="19">
        <f t="shared" si="3"/>
        <v>43374</v>
      </c>
      <c r="L36" s="19">
        <f t="shared" si="4"/>
        <v>43404</v>
      </c>
      <c r="M36" s="18">
        <f t="shared" si="5"/>
        <v>43374</v>
      </c>
      <c r="N36" s="18">
        <f t="shared" si="6"/>
        <v>43404</v>
      </c>
      <c r="O36" s="7" t="str">
        <f t="shared" si="7"/>
        <v xml:space="preserve">Ноль </v>
      </c>
      <c r="P36" s="7" t="str">
        <f t="shared" si="8"/>
        <v>Долларов</v>
      </c>
      <c r="Q36" s="25">
        <f t="shared" si="9"/>
        <v>43417</v>
      </c>
      <c r="R36" s="26">
        <f t="shared" si="9"/>
        <v>43417</v>
      </c>
      <c r="S36" s="26">
        <f t="shared" si="10"/>
        <v>43423</v>
      </c>
      <c r="T36" s="7" t="e">
        <f>VLOOKUP($B36,emp_info!$C$3:$U$100,2,FALSE)</f>
        <v>#N/A</v>
      </c>
      <c r="U36" s="7" t="e">
        <f>VLOOKUP($B36,emp_info!$C$3:$U$100,3,FALSE)</f>
        <v>#N/A</v>
      </c>
      <c r="V36" s="25" t="e">
        <f>VLOOKUP($B36,emp_info!$C$3:$U$100,4,FALSE)</f>
        <v>#N/A</v>
      </c>
      <c r="W36" s="7" t="e">
        <f>VLOOKUP($B36,emp_info!$C$3:$U$100,5,FALSE)</f>
        <v>#N/A</v>
      </c>
      <c r="X36" s="25" t="e">
        <f>VLOOKUP($B36,emp_info!$C$3:$U$100,6,FALSE)</f>
        <v>#N/A</v>
      </c>
      <c r="Y36" s="7" t="e">
        <f>VLOOKUP($B36,emp_info!$C$3:$U$100,7,FALSE)</f>
        <v>#N/A</v>
      </c>
      <c r="Z36" s="7" t="e">
        <f>VLOOKUP($B36,emp_info!$C$3:$U$100,8,FALSE)</f>
        <v>#N/A</v>
      </c>
      <c r="AA36" s="7" t="e">
        <f>VLOOKUP($B36,emp_info!$C$3:$U$100,11,FALSE)</f>
        <v>#N/A</v>
      </c>
      <c r="AB36" s="7" t="e">
        <f>VLOOKUP($B36,emp_info!$C$3:$U$100,12,FALSE)</f>
        <v>#N/A</v>
      </c>
      <c r="AC36" s="7" t="e">
        <f>VLOOKUP($B36,emp_info!$C$3:$U$100,13,FALSE)</f>
        <v>#N/A</v>
      </c>
      <c r="AD36" s="7" t="e">
        <f>VLOOKUP($B36,emp_info!$C$3:$U$100,14,FALSE)</f>
        <v>#N/A</v>
      </c>
      <c r="AE36" s="7" t="e">
        <f>VLOOKUP($B36,emp_info!$C$3:$U$100,15,FALSE)</f>
        <v>#N/A</v>
      </c>
      <c r="AF36" s="7" t="e">
        <f>VLOOKUP($B36,emp_info!$C$3:$U$100,16,FALSE)</f>
        <v>#N/A</v>
      </c>
      <c r="AG36" s="7" t="e">
        <f>VLOOKUP($B36,emp_info!$C$3:$U$100,17,FALSE)</f>
        <v>#N/A</v>
      </c>
      <c r="AH36" s="7" t="e">
        <f>VLOOKUP($B36,emp_info!$C$3:$U$100,18,FALSE)</f>
        <v>#N/A</v>
      </c>
      <c r="AI36" s="7" t="e">
        <f>VLOOKUP($G36,contragent!$B$3:$I$10,2,FALSE)</f>
        <v>#N/A</v>
      </c>
      <c r="AJ36" s="7" t="e">
        <f>VLOOKUP($G36,contragent!$B$3:$I$10,3,FALSE)</f>
        <v>#N/A</v>
      </c>
      <c r="AK36" s="7" t="e">
        <f>VLOOKUP($G36,contragent!$B$3:$I$10,4,FALSE)</f>
        <v>#N/A</v>
      </c>
      <c r="AL36" s="7" t="e">
        <f>VLOOKUP($G36,contragent!$B$3:$I$10,5,FALSE)</f>
        <v>#N/A</v>
      </c>
      <c r="AM36" s="7" t="e">
        <f>VLOOKUP($G36,contragent!$B$3:$I$10,6,FALSE)</f>
        <v>#N/A</v>
      </c>
      <c r="AN36" s="7" t="e">
        <f>VLOOKUP($G36,contragent!$B$3:$I$10,7,FALSE)</f>
        <v>#N/A</v>
      </c>
      <c r="AO36" s="7" t="e">
        <f>VLOOKUP($G36,contragent!$B$3:$I$10,8,FALSE)</f>
        <v>#N/A</v>
      </c>
    </row>
    <row r="37" spans="2:41" x14ac:dyDescent="0.25">
      <c r="B37" s="9"/>
      <c r="C37" s="11">
        <f t="shared" si="0"/>
        <v>0</v>
      </c>
      <c r="D37" s="9">
        <f>IFERROR(VLOOKUP($B37,emp_info!$C$3:$U$100,19,FALSE),0)</f>
        <v>0</v>
      </c>
      <c r="E37" s="15">
        <v>0</v>
      </c>
      <c r="F37" s="9" t="e">
        <f>DATEDIF(VLOOKUP(B37,emp_info!$C$3:$U$100,6,FALSE),DATE($A$10,$A$8,DAY(VLOOKUP(B37,emp_info!$C$3:$U$100,6,FALSE))),"m")+_xlfn.IFNA(VLOOKUP(B37,emp_info!$C$3:$V$100,20,FALSE),0)</f>
        <v>#N/A</v>
      </c>
      <c r="G37" s="10"/>
      <c r="H37" s="11" t="str">
        <f t="shared" si="11"/>
        <v/>
      </c>
      <c r="I37" s="17">
        <f t="shared" si="1"/>
        <v>43404</v>
      </c>
      <c r="J37" s="21">
        <f t="shared" si="2"/>
        <v>43404</v>
      </c>
      <c r="K37" s="19">
        <f t="shared" si="3"/>
        <v>43374</v>
      </c>
      <c r="L37" s="19">
        <f t="shared" si="4"/>
        <v>43404</v>
      </c>
      <c r="M37" s="18">
        <f t="shared" si="5"/>
        <v>43374</v>
      </c>
      <c r="N37" s="18">
        <f t="shared" si="6"/>
        <v>43404</v>
      </c>
      <c r="O37" s="7" t="str">
        <f t="shared" si="7"/>
        <v xml:space="preserve">Ноль </v>
      </c>
      <c r="P37" s="7" t="str">
        <f t="shared" si="8"/>
        <v>Долларов</v>
      </c>
      <c r="Q37" s="25">
        <f t="shared" si="9"/>
        <v>43417</v>
      </c>
      <c r="R37" s="26">
        <f t="shared" si="9"/>
        <v>43417</v>
      </c>
      <c r="S37" s="26">
        <f t="shared" si="10"/>
        <v>43423</v>
      </c>
      <c r="T37" s="7" t="e">
        <f>VLOOKUP($B37,emp_info!$C$3:$U$100,2,FALSE)</f>
        <v>#N/A</v>
      </c>
      <c r="U37" s="7" t="e">
        <f>VLOOKUP($B37,emp_info!$C$3:$U$100,3,FALSE)</f>
        <v>#N/A</v>
      </c>
      <c r="V37" s="25" t="e">
        <f>VLOOKUP($B37,emp_info!$C$3:$U$100,4,FALSE)</f>
        <v>#N/A</v>
      </c>
      <c r="W37" s="7" t="e">
        <f>VLOOKUP($B37,emp_info!$C$3:$U$100,5,FALSE)</f>
        <v>#N/A</v>
      </c>
      <c r="X37" s="25" t="e">
        <f>VLOOKUP($B37,emp_info!$C$3:$U$100,6,FALSE)</f>
        <v>#N/A</v>
      </c>
      <c r="Y37" s="7" t="e">
        <f>VLOOKUP($B37,emp_info!$C$3:$U$100,7,FALSE)</f>
        <v>#N/A</v>
      </c>
      <c r="Z37" s="7" t="e">
        <f>VLOOKUP($B37,emp_info!$C$3:$U$100,8,FALSE)</f>
        <v>#N/A</v>
      </c>
      <c r="AA37" s="7" t="e">
        <f>VLOOKUP($B37,emp_info!$C$3:$U$100,11,FALSE)</f>
        <v>#N/A</v>
      </c>
      <c r="AB37" s="7" t="e">
        <f>VLOOKUP($B37,emp_info!$C$3:$U$100,12,FALSE)</f>
        <v>#N/A</v>
      </c>
      <c r="AC37" s="7" t="e">
        <f>VLOOKUP($B37,emp_info!$C$3:$U$100,13,FALSE)</f>
        <v>#N/A</v>
      </c>
      <c r="AD37" s="7" t="e">
        <f>VLOOKUP($B37,emp_info!$C$3:$U$100,14,FALSE)</f>
        <v>#N/A</v>
      </c>
      <c r="AE37" s="7" t="e">
        <f>VLOOKUP($B37,emp_info!$C$3:$U$100,15,FALSE)</f>
        <v>#N/A</v>
      </c>
      <c r="AF37" s="7" t="e">
        <f>VLOOKUP($B37,emp_info!$C$3:$U$100,16,FALSE)</f>
        <v>#N/A</v>
      </c>
      <c r="AG37" s="7" t="e">
        <f>VLOOKUP($B37,emp_info!$C$3:$U$100,17,FALSE)</f>
        <v>#N/A</v>
      </c>
      <c r="AH37" s="7" t="e">
        <f>VLOOKUP($B37,emp_info!$C$3:$U$100,18,FALSE)</f>
        <v>#N/A</v>
      </c>
      <c r="AI37" s="7" t="e">
        <f>VLOOKUP($G37,contragent!$B$3:$I$10,2,FALSE)</f>
        <v>#N/A</v>
      </c>
      <c r="AJ37" s="7" t="e">
        <f>VLOOKUP($G37,contragent!$B$3:$I$10,3,FALSE)</f>
        <v>#N/A</v>
      </c>
      <c r="AK37" s="7" t="e">
        <f>VLOOKUP($G37,contragent!$B$3:$I$10,4,FALSE)</f>
        <v>#N/A</v>
      </c>
      <c r="AL37" s="7" t="e">
        <f>VLOOKUP($G37,contragent!$B$3:$I$10,5,FALSE)</f>
        <v>#N/A</v>
      </c>
      <c r="AM37" s="7" t="e">
        <f>VLOOKUP($G37,contragent!$B$3:$I$10,6,FALSE)</f>
        <v>#N/A</v>
      </c>
      <c r="AN37" s="7" t="e">
        <f>VLOOKUP($G37,contragent!$B$3:$I$10,7,FALSE)</f>
        <v>#N/A</v>
      </c>
      <c r="AO37" s="7" t="e">
        <f>VLOOKUP($G37,contragent!$B$3:$I$10,8,FALSE)</f>
        <v>#N/A</v>
      </c>
    </row>
    <row r="38" spans="2:41" x14ac:dyDescent="0.25">
      <c r="B38" s="9"/>
      <c r="C38" s="11">
        <f t="shared" si="0"/>
        <v>0</v>
      </c>
      <c r="D38" s="9">
        <f>IFERROR(VLOOKUP($B38,emp_info!$C$3:$U$100,19,FALSE),0)</f>
        <v>0</v>
      </c>
      <c r="E38" s="15">
        <v>0</v>
      </c>
      <c r="F38" s="9" t="e">
        <f>DATEDIF(VLOOKUP(B38,emp_info!$C$3:$U$100,6,FALSE),DATE($A$10,$A$8,DAY(VLOOKUP(B38,emp_info!$C$3:$U$100,6,FALSE))),"m")+_xlfn.IFNA(VLOOKUP(B38,emp_info!$C$3:$V$100,20,FALSE),0)</f>
        <v>#N/A</v>
      </c>
      <c r="G38" s="10"/>
      <c r="H38" s="11" t="str">
        <f t="shared" si="11"/>
        <v/>
      </c>
      <c r="I38" s="17">
        <f t="shared" si="1"/>
        <v>43404</v>
      </c>
      <c r="J38" s="21">
        <f t="shared" si="2"/>
        <v>43404</v>
      </c>
      <c r="K38" s="19">
        <f t="shared" si="3"/>
        <v>43374</v>
      </c>
      <c r="L38" s="19">
        <f t="shared" si="4"/>
        <v>43404</v>
      </c>
      <c r="M38" s="18">
        <f t="shared" si="5"/>
        <v>43374</v>
      </c>
      <c r="N38" s="18">
        <f t="shared" si="6"/>
        <v>43404</v>
      </c>
      <c r="O38" s="7" t="str">
        <f t="shared" si="7"/>
        <v xml:space="preserve">Ноль </v>
      </c>
      <c r="P38" s="7" t="str">
        <f t="shared" si="8"/>
        <v>Долларов</v>
      </c>
      <c r="Q38" s="25">
        <f t="shared" si="9"/>
        <v>43417</v>
      </c>
      <c r="R38" s="26">
        <f t="shared" si="9"/>
        <v>43417</v>
      </c>
      <c r="S38" s="26">
        <f t="shared" si="10"/>
        <v>43423</v>
      </c>
      <c r="T38" s="7" t="e">
        <f>VLOOKUP($B38,emp_info!$C$3:$U$100,2,FALSE)</f>
        <v>#N/A</v>
      </c>
      <c r="U38" s="7" t="e">
        <f>VLOOKUP($B38,emp_info!$C$3:$U$100,3,FALSE)</f>
        <v>#N/A</v>
      </c>
      <c r="V38" s="25" t="e">
        <f>VLOOKUP($B38,emp_info!$C$3:$U$100,4,FALSE)</f>
        <v>#N/A</v>
      </c>
      <c r="W38" s="7" t="e">
        <f>VLOOKUP($B38,emp_info!$C$3:$U$100,5,FALSE)</f>
        <v>#N/A</v>
      </c>
      <c r="X38" s="25" t="e">
        <f>VLOOKUP($B38,emp_info!$C$3:$U$100,6,FALSE)</f>
        <v>#N/A</v>
      </c>
      <c r="Y38" s="7" t="e">
        <f>VLOOKUP($B38,emp_info!$C$3:$U$100,7,FALSE)</f>
        <v>#N/A</v>
      </c>
      <c r="Z38" s="7" t="e">
        <f>VLOOKUP($B38,emp_info!$C$3:$U$100,8,FALSE)</f>
        <v>#N/A</v>
      </c>
      <c r="AA38" s="7" t="e">
        <f>VLOOKUP($B38,emp_info!$C$3:$U$100,11,FALSE)</f>
        <v>#N/A</v>
      </c>
      <c r="AB38" s="7" t="e">
        <f>VLOOKUP($B38,emp_info!$C$3:$U$100,12,FALSE)</f>
        <v>#N/A</v>
      </c>
      <c r="AC38" s="7" t="e">
        <f>VLOOKUP($B38,emp_info!$C$3:$U$100,13,FALSE)</f>
        <v>#N/A</v>
      </c>
      <c r="AD38" s="7" t="e">
        <f>VLOOKUP($B38,emp_info!$C$3:$U$100,14,FALSE)</f>
        <v>#N/A</v>
      </c>
      <c r="AE38" s="7" t="e">
        <f>VLOOKUP($B38,emp_info!$C$3:$U$100,15,FALSE)</f>
        <v>#N/A</v>
      </c>
      <c r="AF38" s="7" t="e">
        <f>VLOOKUP($B38,emp_info!$C$3:$U$100,16,FALSE)</f>
        <v>#N/A</v>
      </c>
      <c r="AG38" s="7" t="e">
        <f>VLOOKUP($B38,emp_info!$C$3:$U$100,17,FALSE)</f>
        <v>#N/A</v>
      </c>
      <c r="AH38" s="7" t="e">
        <f>VLOOKUP($B38,emp_info!$C$3:$U$100,18,FALSE)</f>
        <v>#N/A</v>
      </c>
      <c r="AI38" s="7" t="e">
        <f>VLOOKUP($G38,contragent!$B$3:$I$10,2,FALSE)</f>
        <v>#N/A</v>
      </c>
      <c r="AJ38" s="7" t="e">
        <f>VLOOKUP($G38,contragent!$B$3:$I$10,3,FALSE)</f>
        <v>#N/A</v>
      </c>
      <c r="AK38" s="7" t="e">
        <f>VLOOKUP($G38,contragent!$B$3:$I$10,4,FALSE)</f>
        <v>#N/A</v>
      </c>
      <c r="AL38" s="7" t="e">
        <f>VLOOKUP($G38,contragent!$B$3:$I$10,5,FALSE)</f>
        <v>#N/A</v>
      </c>
      <c r="AM38" s="7" t="e">
        <f>VLOOKUP($G38,contragent!$B$3:$I$10,6,FALSE)</f>
        <v>#N/A</v>
      </c>
      <c r="AN38" s="7" t="e">
        <f>VLOOKUP($G38,contragent!$B$3:$I$10,7,FALSE)</f>
        <v>#N/A</v>
      </c>
      <c r="AO38" s="7" t="e">
        <f>VLOOKUP($G38,contragent!$B$3:$I$10,8,FALSE)</f>
        <v>#N/A</v>
      </c>
    </row>
    <row r="39" spans="2:41" x14ac:dyDescent="0.25">
      <c r="B39" s="9"/>
      <c r="C39" s="11">
        <f t="shared" si="0"/>
        <v>0</v>
      </c>
      <c r="D39" s="9">
        <f>IFERROR(VLOOKUP($B39,emp_info!$C$3:$U$100,19,FALSE),0)</f>
        <v>0</v>
      </c>
      <c r="E39" s="15">
        <v>0</v>
      </c>
      <c r="F39" s="9" t="e">
        <f>DATEDIF(VLOOKUP(B39,emp_info!$C$3:$U$100,6,FALSE),DATE($A$10,$A$8,DAY(VLOOKUP(B39,emp_info!$C$3:$U$100,6,FALSE))),"m")+_xlfn.IFNA(VLOOKUP(B39,emp_info!$C$3:$V$100,20,FALSE),0)</f>
        <v>#N/A</v>
      </c>
      <c r="G39" s="10"/>
      <c r="H39" s="11" t="str">
        <f t="shared" si="11"/>
        <v/>
      </c>
      <c r="I39" s="17">
        <f t="shared" si="1"/>
        <v>43404</v>
      </c>
      <c r="J39" s="21">
        <f t="shared" si="2"/>
        <v>43404</v>
      </c>
      <c r="K39" s="19">
        <f t="shared" si="3"/>
        <v>43374</v>
      </c>
      <c r="L39" s="19">
        <f t="shared" si="4"/>
        <v>43404</v>
      </c>
      <c r="M39" s="18">
        <f t="shared" si="5"/>
        <v>43374</v>
      </c>
      <c r="N39" s="18">
        <f t="shared" si="6"/>
        <v>43404</v>
      </c>
      <c r="O39" s="7" t="str">
        <f t="shared" si="7"/>
        <v xml:space="preserve">Ноль </v>
      </c>
      <c r="P39" s="7" t="str">
        <f t="shared" si="8"/>
        <v>Долларов</v>
      </c>
      <c r="Q39" s="25">
        <f t="shared" si="9"/>
        <v>43417</v>
      </c>
      <c r="R39" s="26">
        <f t="shared" si="9"/>
        <v>43417</v>
      </c>
      <c r="S39" s="26">
        <f t="shared" si="10"/>
        <v>43423</v>
      </c>
      <c r="T39" s="7" t="e">
        <f>VLOOKUP($B39,emp_info!$C$3:$U$100,2,FALSE)</f>
        <v>#N/A</v>
      </c>
      <c r="U39" s="7" t="e">
        <f>VLOOKUP($B39,emp_info!$C$3:$U$100,3,FALSE)</f>
        <v>#N/A</v>
      </c>
      <c r="V39" s="25" t="e">
        <f>VLOOKUP($B39,emp_info!$C$3:$U$100,4,FALSE)</f>
        <v>#N/A</v>
      </c>
      <c r="W39" s="7" t="e">
        <f>VLOOKUP($B39,emp_info!$C$3:$U$100,5,FALSE)</f>
        <v>#N/A</v>
      </c>
      <c r="X39" s="25" t="e">
        <f>VLOOKUP($B39,emp_info!$C$3:$U$100,6,FALSE)</f>
        <v>#N/A</v>
      </c>
      <c r="Y39" s="7" t="e">
        <f>VLOOKUP($B39,emp_info!$C$3:$U$100,7,FALSE)</f>
        <v>#N/A</v>
      </c>
      <c r="Z39" s="7" t="e">
        <f>VLOOKUP($B39,emp_info!$C$3:$U$100,8,FALSE)</f>
        <v>#N/A</v>
      </c>
      <c r="AA39" s="7" t="e">
        <f>VLOOKUP($B39,emp_info!$C$3:$U$100,11,FALSE)</f>
        <v>#N/A</v>
      </c>
      <c r="AB39" s="7" t="e">
        <f>VLOOKUP($B39,emp_info!$C$3:$U$100,12,FALSE)</f>
        <v>#N/A</v>
      </c>
      <c r="AC39" s="7" t="e">
        <f>VLOOKUP($B39,emp_info!$C$3:$U$100,13,FALSE)</f>
        <v>#N/A</v>
      </c>
      <c r="AD39" s="7" t="e">
        <f>VLOOKUP($B39,emp_info!$C$3:$U$100,14,FALSE)</f>
        <v>#N/A</v>
      </c>
      <c r="AE39" s="7" t="e">
        <f>VLOOKUP($B39,emp_info!$C$3:$U$100,15,FALSE)</f>
        <v>#N/A</v>
      </c>
      <c r="AF39" s="7" t="e">
        <f>VLOOKUP($B39,emp_info!$C$3:$U$100,16,FALSE)</f>
        <v>#N/A</v>
      </c>
      <c r="AG39" s="7" t="e">
        <f>VLOOKUP($B39,emp_info!$C$3:$U$100,17,FALSE)</f>
        <v>#N/A</v>
      </c>
      <c r="AH39" s="7" t="e">
        <f>VLOOKUP($B39,emp_info!$C$3:$U$100,18,FALSE)</f>
        <v>#N/A</v>
      </c>
      <c r="AI39" s="7" t="e">
        <f>VLOOKUP($G39,contragent!$B$3:$I$10,2,FALSE)</f>
        <v>#N/A</v>
      </c>
      <c r="AJ39" s="7" t="e">
        <f>VLOOKUP($G39,contragent!$B$3:$I$10,3,FALSE)</f>
        <v>#N/A</v>
      </c>
      <c r="AK39" s="7" t="e">
        <f>VLOOKUP($G39,contragent!$B$3:$I$10,4,FALSE)</f>
        <v>#N/A</v>
      </c>
      <c r="AL39" s="7" t="e">
        <f>VLOOKUP($G39,contragent!$B$3:$I$10,5,FALSE)</f>
        <v>#N/A</v>
      </c>
      <c r="AM39" s="7" t="e">
        <f>VLOOKUP($G39,contragent!$B$3:$I$10,6,FALSE)</f>
        <v>#N/A</v>
      </c>
      <c r="AN39" s="7" t="e">
        <f>VLOOKUP($G39,contragent!$B$3:$I$10,7,FALSE)</f>
        <v>#N/A</v>
      </c>
      <c r="AO39" s="7" t="e">
        <f>VLOOKUP($G39,contragent!$B$3:$I$10,8,FALSE)</f>
        <v>#N/A</v>
      </c>
    </row>
    <row r="40" spans="2:41" x14ac:dyDescent="0.25">
      <c r="B40" s="9"/>
      <c r="C40" s="11">
        <f t="shared" si="0"/>
        <v>0</v>
      </c>
      <c r="D40" s="9">
        <f>IFERROR(VLOOKUP($B40,emp_info!$C$3:$U$100,19,FALSE),0)</f>
        <v>0</v>
      </c>
      <c r="E40" s="15">
        <v>0</v>
      </c>
      <c r="F40" s="9" t="e">
        <f>DATEDIF(VLOOKUP(B40,emp_info!$C$3:$U$100,6,FALSE),DATE($A$10,$A$8,DAY(VLOOKUP(B40,emp_info!$C$3:$U$100,6,FALSE))),"m")+_xlfn.IFNA(VLOOKUP(B40,emp_info!$C$3:$V$100,20,FALSE),0)</f>
        <v>#N/A</v>
      </c>
      <c r="G40" s="10"/>
      <c r="H40" s="11" t="str">
        <f t="shared" si="11"/>
        <v/>
      </c>
      <c r="I40" s="17">
        <f t="shared" si="1"/>
        <v>43404</v>
      </c>
      <c r="J40" s="21">
        <f t="shared" si="2"/>
        <v>43404</v>
      </c>
      <c r="K40" s="19">
        <f t="shared" si="3"/>
        <v>43374</v>
      </c>
      <c r="L40" s="19">
        <f t="shared" si="4"/>
        <v>43404</v>
      </c>
      <c r="M40" s="18">
        <f t="shared" si="5"/>
        <v>43374</v>
      </c>
      <c r="N40" s="18">
        <f t="shared" si="6"/>
        <v>43404</v>
      </c>
      <c r="O40" s="7" t="str">
        <f t="shared" si="7"/>
        <v xml:space="preserve">Ноль </v>
      </c>
      <c r="P40" s="7" t="str">
        <f t="shared" si="8"/>
        <v>Долларов</v>
      </c>
      <c r="Q40" s="25">
        <f t="shared" si="9"/>
        <v>43417</v>
      </c>
      <c r="R40" s="26">
        <f t="shared" si="9"/>
        <v>43417</v>
      </c>
      <c r="S40" s="26">
        <f t="shared" si="10"/>
        <v>43423</v>
      </c>
      <c r="T40" s="7" t="e">
        <f>VLOOKUP($B40,emp_info!$C$3:$U$100,2,FALSE)</f>
        <v>#N/A</v>
      </c>
      <c r="U40" s="7" t="e">
        <f>VLOOKUP($B40,emp_info!$C$3:$U$100,3,FALSE)</f>
        <v>#N/A</v>
      </c>
      <c r="V40" s="25" t="e">
        <f>VLOOKUP($B40,emp_info!$C$3:$U$100,4,FALSE)</f>
        <v>#N/A</v>
      </c>
      <c r="W40" s="7" t="e">
        <f>VLOOKUP($B40,emp_info!$C$3:$U$100,5,FALSE)</f>
        <v>#N/A</v>
      </c>
      <c r="X40" s="25" t="e">
        <f>VLOOKUP($B40,emp_info!$C$3:$U$100,6,FALSE)</f>
        <v>#N/A</v>
      </c>
      <c r="Y40" s="7" t="e">
        <f>VLOOKUP($B40,emp_info!$C$3:$U$100,7,FALSE)</f>
        <v>#N/A</v>
      </c>
      <c r="Z40" s="7" t="e">
        <f>VLOOKUP($B40,emp_info!$C$3:$U$100,8,FALSE)</f>
        <v>#N/A</v>
      </c>
      <c r="AA40" s="7" t="e">
        <f>VLOOKUP($B40,emp_info!$C$3:$U$100,11,FALSE)</f>
        <v>#N/A</v>
      </c>
      <c r="AB40" s="7" t="e">
        <f>VLOOKUP($B40,emp_info!$C$3:$U$100,12,FALSE)</f>
        <v>#N/A</v>
      </c>
      <c r="AC40" s="7" t="e">
        <f>VLOOKUP($B40,emp_info!$C$3:$U$100,13,FALSE)</f>
        <v>#N/A</v>
      </c>
      <c r="AD40" s="7" t="e">
        <f>VLOOKUP($B40,emp_info!$C$3:$U$100,14,FALSE)</f>
        <v>#N/A</v>
      </c>
      <c r="AE40" s="7" t="e">
        <f>VLOOKUP($B40,emp_info!$C$3:$U$100,15,FALSE)</f>
        <v>#N/A</v>
      </c>
      <c r="AF40" s="7" t="e">
        <f>VLOOKUP($B40,emp_info!$C$3:$U$100,16,FALSE)</f>
        <v>#N/A</v>
      </c>
      <c r="AG40" s="7" t="e">
        <f>VLOOKUP($B40,emp_info!$C$3:$U$100,17,FALSE)</f>
        <v>#N/A</v>
      </c>
      <c r="AH40" s="7" t="e">
        <f>VLOOKUP($B40,emp_info!$C$3:$U$100,18,FALSE)</f>
        <v>#N/A</v>
      </c>
      <c r="AI40" s="7" t="e">
        <f>VLOOKUP($G40,contragent!$B$3:$I$10,2,FALSE)</f>
        <v>#N/A</v>
      </c>
      <c r="AJ40" s="7" t="e">
        <f>VLOOKUP($G40,contragent!$B$3:$I$10,3,FALSE)</f>
        <v>#N/A</v>
      </c>
      <c r="AK40" s="7" t="e">
        <f>VLOOKUP($G40,contragent!$B$3:$I$10,4,FALSE)</f>
        <v>#N/A</v>
      </c>
      <c r="AL40" s="7" t="e">
        <f>VLOOKUP($G40,contragent!$B$3:$I$10,5,FALSE)</f>
        <v>#N/A</v>
      </c>
      <c r="AM40" s="7" t="e">
        <f>VLOOKUP($G40,contragent!$B$3:$I$10,6,FALSE)</f>
        <v>#N/A</v>
      </c>
      <c r="AN40" s="7" t="e">
        <f>VLOOKUP($G40,contragent!$B$3:$I$10,7,FALSE)</f>
        <v>#N/A</v>
      </c>
      <c r="AO40" s="7" t="e">
        <f>VLOOKUP($G40,contragent!$B$3:$I$10,8,FALSE)</f>
        <v>#N/A</v>
      </c>
    </row>
    <row r="41" spans="2:41" x14ac:dyDescent="0.25">
      <c r="B41" s="9"/>
      <c r="C41" s="11">
        <f t="shared" si="0"/>
        <v>0</v>
      </c>
      <c r="D41" s="9">
        <f>IFERROR(VLOOKUP($B41,emp_info!$C$3:$U$100,19,FALSE),0)</f>
        <v>0</v>
      </c>
      <c r="E41" s="15">
        <v>0</v>
      </c>
      <c r="F41" s="9" t="e">
        <f>DATEDIF(VLOOKUP(B41,emp_info!$C$3:$U$100,6,FALSE),DATE($A$10,$A$8,DAY(VLOOKUP(B41,emp_info!$C$3:$U$100,6,FALSE))),"m")+_xlfn.IFNA(VLOOKUP(B41,emp_info!$C$3:$V$100,20,FALSE),0)</f>
        <v>#N/A</v>
      </c>
      <c r="G41" s="10"/>
      <c r="H41" s="11" t="str">
        <f t="shared" si="11"/>
        <v/>
      </c>
      <c r="I41" s="17">
        <f t="shared" si="1"/>
        <v>43404</v>
      </c>
      <c r="J41" s="21">
        <f t="shared" si="2"/>
        <v>43404</v>
      </c>
      <c r="K41" s="19">
        <f t="shared" si="3"/>
        <v>43374</v>
      </c>
      <c r="L41" s="19">
        <f t="shared" si="4"/>
        <v>43404</v>
      </c>
      <c r="M41" s="18">
        <f t="shared" si="5"/>
        <v>43374</v>
      </c>
      <c r="N41" s="18">
        <f t="shared" si="6"/>
        <v>43404</v>
      </c>
      <c r="O41" s="7" t="str">
        <f t="shared" si="7"/>
        <v xml:space="preserve">Ноль </v>
      </c>
      <c r="P41" s="7" t="str">
        <f t="shared" si="8"/>
        <v>Долларов</v>
      </c>
      <c r="Q41" s="25">
        <f t="shared" si="9"/>
        <v>43417</v>
      </c>
      <c r="R41" s="26">
        <f t="shared" si="9"/>
        <v>43417</v>
      </c>
      <c r="S41" s="26">
        <f t="shared" si="10"/>
        <v>43423</v>
      </c>
      <c r="T41" s="7" t="e">
        <f>VLOOKUP($B41,emp_info!$C$3:$U$100,2,FALSE)</f>
        <v>#N/A</v>
      </c>
      <c r="U41" s="7" t="e">
        <f>VLOOKUP($B41,emp_info!$C$3:$U$100,3,FALSE)</f>
        <v>#N/A</v>
      </c>
      <c r="V41" s="25" t="e">
        <f>VLOOKUP($B41,emp_info!$C$3:$U$100,4,FALSE)</f>
        <v>#N/A</v>
      </c>
      <c r="W41" s="7" t="e">
        <f>VLOOKUP($B41,emp_info!$C$3:$U$100,5,FALSE)</f>
        <v>#N/A</v>
      </c>
      <c r="X41" s="25" t="e">
        <f>VLOOKUP($B41,emp_info!$C$3:$U$100,6,FALSE)</f>
        <v>#N/A</v>
      </c>
      <c r="Y41" s="7" t="e">
        <f>VLOOKUP($B41,emp_info!$C$3:$U$100,7,FALSE)</f>
        <v>#N/A</v>
      </c>
      <c r="Z41" s="7" t="e">
        <f>VLOOKUP($B41,emp_info!$C$3:$U$100,8,FALSE)</f>
        <v>#N/A</v>
      </c>
      <c r="AA41" s="7" t="e">
        <f>VLOOKUP($B41,emp_info!$C$3:$U$100,11,FALSE)</f>
        <v>#N/A</v>
      </c>
      <c r="AB41" s="7" t="e">
        <f>VLOOKUP($B41,emp_info!$C$3:$U$100,12,FALSE)</f>
        <v>#N/A</v>
      </c>
      <c r="AC41" s="7" t="e">
        <f>VLOOKUP($B41,emp_info!$C$3:$U$100,13,FALSE)</f>
        <v>#N/A</v>
      </c>
      <c r="AD41" s="7" t="e">
        <f>VLOOKUP($B41,emp_info!$C$3:$U$100,14,FALSE)</f>
        <v>#N/A</v>
      </c>
      <c r="AE41" s="7" t="e">
        <f>VLOOKUP($B41,emp_info!$C$3:$U$100,15,FALSE)</f>
        <v>#N/A</v>
      </c>
      <c r="AF41" s="7" t="e">
        <f>VLOOKUP($B41,emp_info!$C$3:$U$100,16,FALSE)</f>
        <v>#N/A</v>
      </c>
      <c r="AG41" s="7" t="e">
        <f>VLOOKUP($B41,emp_info!$C$3:$U$100,17,FALSE)</f>
        <v>#N/A</v>
      </c>
      <c r="AH41" s="7" t="e">
        <f>VLOOKUP($B41,emp_info!$C$3:$U$100,18,FALSE)</f>
        <v>#N/A</v>
      </c>
      <c r="AI41" s="7" t="e">
        <f>VLOOKUP($G41,contragent!$B$3:$I$10,2,FALSE)</f>
        <v>#N/A</v>
      </c>
      <c r="AJ41" s="7" t="e">
        <f>VLOOKUP($G41,contragent!$B$3:$I$10,3,FALSE)</f>
        <v>#N/A</v>
      </c>
      <c r="AK41" s="7" t="e">
        <f>VLOOKUP($G41,contragent!$B$3:$I$10,4,FALSE)</f>
        <v>#N/A</v>
      </c>
      <c r="AL41" s="7" t="e">
        <f>VLOOKUP($G41,contragent!$B$3:$I$10,5,FALSE)</f>
        <v>#N/A</v>
      </c>
      <c r="AM41" s="7" t="e">
        <f>VLOOKUP($G41,contragent!$B$3:$I$10,6,FALSE)</f>
        <v>#N/A</v>
      </c>
      <c r="AN41" s="7" t="e">
        <f>VLOOKUP($G41,contragent!$B$3:$I$10,7,FALSE)</f>
        <v>#N/A</v>
      </c>
      <c r="AO41" s="7" t="e">
        <f>VLOOKUP($G41,contragent!$B$3:$I$10,8,FALSE)</f>
        <v>#N/A</v>
      </c>
    </row>
    <row r="42" spans="2:41" x14ac:dyDescent="0.25">
      <c r="B42" s="9"/>
      <c r="C42" s="11">
        <f t="shared" si="0"/>
        <v>0</v>
      </c>
      <c r="D42" s="9">
        <f>IFERROR(VLOOKUP($B42,emp_info!$C$3:$U$100,19,FALSE),0)</f>
        <v>0</v>
      </c>
      <c r="E42" s="15">
        <v>0</v>
      </c>
      <c r="F42" s="9" t="e">
        <f>DATEDIF(VLOOKUP(B42,emp_info!$C$3:$U$100,6,FALSE),DATE($A$10,$A$8,DAY(VLOOKUP(B42,emp_info!$C$3:$U$100,6,FALSE))),"m")+_xlfn.IFNA(VLOOKUP(B42,emp_info!$C$3:$V$100,20,FALSE),0)</f>
        <v>#N/A</v>
      </c>
      <c r="G42" s="10"/>
      <c r="H42" s="11" t="str">
        <f t="shared" si="11"/>
        <v/>
      </c>
      <c r="I42" s="17">
        <f t="shared" si="1"/>
        <v>43404</v>
      </c>
      <c r="J42" s="21">
        <f t="shared" si="2"/>
        <v>43404</v>
      </c>
      <c r="K42" s="19">
        <f t="shared" si="3"/>
        <v>43374</v>
      </c>
      <c r="L42" s="19">
        <f t="shared" si="4"/>
        <v>43404</v>
      </c>
      <c r="M42" s="18">
        <f t="shared" si="5"/>
        <v>43374</v>
      </c>
      <c r="N42" s="18">
        <f t="shared" si="6"/>
        <v>43404</v>
      </c>
      <c r="O42" s="7" t="str">
        <f t="shared" si="7"/>
        <v xml:space="preserve">Ноль </v>
      </c>
      <c r="P42" s="7" t="str">
        <f t="shared" si="8"/>
        <v>Долларов</v>
      </c>
      <c r="Q42" s="25">
        <f t="shared" si="9"/>
        <v>43417</v>
      </c>
      <c r="R42" s="26">
        <f t="shared" si="9"/>
        <v>43417</v>
      </c>
      <c r="S42" s="26">
        <f t="shared" si="10"/>
        <v>43423</v>
      </c>
      <c r="T42" s="7" t="e">
        <f>VLOOKUP($B42,emp_info!$C$3:$U$100,2,FALSE)</f>
        <v>#N/A</v>
      </c>
      <c r="U42" s="7" t="e">
        <f>VLOOKUP($B42,emp_info!$C$3:$U$100,3,FALSE)</f>
        <v>#N/A</v>
      </c>
      <c r="V42" s="25" t="e">
        <f>VLOOKUP($B42,emp_info!$C$3:$U$100,4,FALSE)</f>
        <v>#N/A</v>
      </c>
      <c r="W42" s="7" t="e">
        <f>VLOOKUP($B42,emp_info!$C$3:$U$100,5,FALSE)</f>
        <v>#N/A</v>
      </c>
      <c r="X42" s="25" t="e">
        <f>VLOOKUP($B42,emp_info!$C$3:$U$100,6,FALSE)</f>
        <v>#N/A</v>
      </c>
      <c r="Y42" s="7" t="e">
        <f>VLOOKUP($B42,emp_info!$C$3:$U$100,7,FALSE)</f>
        <v>#N/A</v>
      </c>
      <c r="Z42" s="7" t="e">
        <f>VLOOKUP($B42,emp_info!$C$3:$U$100,8,FALSE)</f>
        <v>#N/A</v>
      </c>
      <c r="AA42" s="7" t="e">
        <f>VLOOKUP($B42,emp_info!$C$3:$U$100,11,FALSE)</f>
        <v>#N/A</v>
      </c>
      <c r="AB42" s="7" t="e">
        <f>VLOOKUP($B42,emp_info!$C$3:$U$100,12,FALSE)</f>
        <v>#N/A</v>
      </c>
      <c r="AC42" s="7" t="e">
        <f>VLOOKUP($B42,emp_info!$C$3:$U$100,13,FALSE)</f>
        <v>#N/A</v>
      </c>
      <c r="AD42" s="7" t="e">
        <f>VLOOKUP($B42,emp_info!$C$3:$U$100,14,FALSE)</f>
        <v>#N/A</v>
      </c>
      <c r="AE42" s="7" t="e">
        <f>VLOOKUP($B42,emp_info!$C$3:$U$100,15,FALSE)</f>
        <v>#N/A</v>
      </c>
      <c r="AF42" s="7" t="e">
        <f>VLOOKUP($B42,emp_info!$C$3:$U$100,16,FALSE)</f>
        <v>#N/A</v>
      </c>
      <c r="AG42" s="7" t="e">
        <f>VLOOKUP($B42,emp_info!$C$3:$U$100,17,FALSE)</f>
        <v>#N/A</v>
      </c>
      <c r="AH42" s="7" t="e">
        <f>VLOOKUP($B42,emp_info!$C$3:$U$100,18,FALSE)</f>
        <v>#N/A</v>
      </c>
      <c r="AI42" s="7" t="e">
        <f>VLOOKUP($G42,contragent!$B$3:$I$10,2,FALSE)</f>
        <v>#N/A</v>
      </c>
      <c r="AJ42" s="7" t="e">
        <f>VLOOKUP($G42,contragent!$B$3:$I$10,3,FALSE)</f>
        <v>#N/A</v>
      </c>
      <c r="AK42" s="7" t="e">
        <f>VLOOKUP($G42,contragent!$B$3:$I$10,4,FALSE)</f>
        <v>#N/A</v>
      </c>
      <c r="AL42" s="7" t="e">
        <f>VLOOKUP($G42,contragent!$B$3:$I$10,5,FALSE)</f>
        <v>#N/A</v>
      </c>
      <c r="AM42" s="7" t="e">
        <f>VLOOKUP($G42,contragent!$B$3:$I$10,6,FALSE)</f>
        <v>#N/A</v>
      </c>
      <c r="AN42" s="7" t="e">
        <f>VLOOKUP($G42,contragent!$B$3:$I$10,7,FALSE)</f>
        <v>#N/A</v>
      </c>
      <c r="AO42" s="7" t="e">
        <f>VLOOKUP($G42,contragent!$B$3:$I$10,8,FALSE)</f>
        <v>#N/A</v>
      </c>
    </row>
    <row r="43" spans="2:41" x14ac:dyDescent="0.25">
      <c r="B43" s="9"/>
      <c r="C43" s="11">
        <f t="shared" si="0"/>
        <v>0</v>
      </c>
      <c r="D43" s="9">
        <f>IFERROR(VLOOKUP($B43,emp_info!$C$3:$U$100,19,FALSE),0)</f>
        <v>0</v>
      </c>
      <c r="E43" s="15">
        <v>0</v>
      </c>
      <c r="F43" s="9" t="e">
        <f>DATEDIF(VLOOKUP(B43,emp_info!$C$3:$U$100,6,FALSE),DATE($A$10,$A$8,DAY(VLOOKUP(B43,emp_info!$C$3:$U$100,6,FALSE))),"m")+_xlfn.IFNA(VLOOKUP(B43,emp_info!$C$3:$V$100,20,FALSE),0)</f>
        <v>#N/A</v>
      </c>
      <c r="G43" s="10"/>
      <c r="H43" s="11" t="str">
        <f t="shared" si="11"/>
        <v/>
      </c>
      <c r="I43" s="17">
        <f t="shared" si="1"/>
        <v>43404</v>
      </c>
      <c r="J43" s="21">
        <f t="shared" si="2"/>
        <v>43404</v>
      </c>
      <c r="K43" s="19">
        <f t="shared" si="3"/>
        <v>43374</v>
      </c>
      <c r="L43" s="19">
        <f t="shared" si="4"/>
        <v>43404</v>
      </c>
      <c r="M43" s="18">
        <f t="shared" si="5"/>
        <v>43374</v>
      </c>
      <c r="N43" s="18">
        <f t="shared" si="6"/>
        <v>43404</v>
      </c>
      <c r="O43" s="7" t="str">
        <f t="shared" si="7"/>
        <v xml:space="preserve">Ноль </v>
      </c>
      <c r="P43" s="7" t="str">
        <f t="shared" si="8"/>
        <v>Долларов</v>
      </c>
      <c r="Q43" s="25">
        <f t="shared" si="9"/>
        <v>43417</v>
      </c>
      <c r="R43" s="26">
        <f t="shared" si="9"/>
        <v>43417</v>
      </c>
      <c r="S43" s="26">
        <f t="shared" si="10"/>
        <v>43423</v>
      </c>
      <c r="T43" s="7" t="e">
        <f>VLOOKUP($B43,emp_info!$C$3:$U$100,2,FALSE)</f>
        <v>#N/A</v>
      </c>
      <c r="U43" s="7" t="e">
        <f>VLOOKUP($B43,emp_info!$C$3:$U$100,3,FALSE)</f>
        <v>#N/A</v>
      </c>
      <c r="V43" s="25" t="e">
        <f>VLOOKUP($B43,emp_info!$C$3:$U$100,4,FALSE)</f>
        <v>#N/A</v>
      </c>
      <c r="W43" s="7" t="e">
        <f>VLOOKUP($B43,emp_info!$C$3:$U$100,5,FALSE)</f>
        <v>#N/A</v>
      </c>
      <c r="X43" s="25" t="e">
        <f>VLOOKUP($B43,emp_info!$C$3:$U$100,6,FALSE)</f>
        <v>#N/A</v>
      </c>
      <c r="Y43" s="7" t="e">
        <f>VLOOKUP($B43,emp_info!$C$3:$U$100,7,FALSE)</f>
        <v>#N/A</v>
      </c>
      <c r="Z43" s="7" t="e">
        <f>VLOOKUP($B43,emp_info!$C$3:$U$100,8,FALSE)</f>
        <v>#N/A</v>
      </c>
      <c r="AA43" s="7" t="e">
        <f>VLOOKUP($B43,emp_info!$C$3:$U$100,11,FALSE)</f>
        <v>#N/A</v>
      </c>
      <c r="AB43" s="7" t="e">
        <f>VLOOKUP($B43,emp_info!$C$3:$U$100,12,FALSE)</f>
        <v>#N/A</v>
      </c>
      <c r="AC43" s="7" t="e">
        <f>VLOOKUP($B43,emp_info!$C$3:$U$100,13,FALSE)</f>
        <v>#N/A</v>
      </c>
      <c r="AD43" s="7" t="e">
        <f>VLOOKUP($B43,emp_info!$C$3:$U$100,14,FALSE)</f>
        <v>#N/A</v>
      </c>
      <c r="AE43" s="7" t="e">
        <f>VLOOKUP($B43,emp_info!$C$3:$U$100,15,FALSE)</f>
        <v>#N/A</v>
      </c>
      <c r="AF43" s="7" t="e">
        <f>VLOOKUP($B43,emp_info!$C$3:$U$100,16,FALSE)</f>
        <v>#N/A</v>
      </c>
      <c r="AG43" s="7" t="e">
        <f>VLOOKUP($B43,emp_info!$C$3:$U$100,17,FALSE)</f>
        <v>#N/A</v>
      </c>
      <c r="AH43" s="7" t="e">
        <f>VLOOKUP($B43,emp_info!$C$3:$U$100,18,FALSE)</f>
        <v>#N/A</v>
      </c>
      <c r="AI43" s="7" t="e">
        <f>VLOOKUP($G43,contragent!$B$3:$I$10,2,FALSE)</f>
        <v>#N/A</v>
      </c>
      <c r="AJ43" s="7" t="e">
        <f>VLOOKUP($G43,contragent!$B$3:$I$10,3,FALSE)</f>
        <v>#N/A</v>
      </c>
      <c r="AK43" s="7" t="e">
        <f>VLOOKUP($G43,contragent!$B$3:$I$10,4,FALSE)</f>
        <v>#N/A</v>
      </c>
      <c r="AL43" s="7" t="e">
        <f>VLOOKUP($G43,contragent!$B$3:$I$10,5,FALSE)</f>
        <v>#N/A</v>
      </c>
      <c r="AM43" s="7" t="e">
        <f>VLOOKUP($G43,contragent!$B$3:$I$10,6,FALSE)</f>
        <v>#N/A</v>
      </c>
      <c r="AN43" s="7" t="e">
        <f>VLOOKUP($G43,contragent!$B$3:$I$10,7,FALSE)</f>
        <v>#N/A</v>
      </c>
      <c r="AO43" s="7" t="e">
        <f>VLOOKUP($G43,contragent!$B$3:$I$10,8,FALSE)</f>
        <v>#N/A</v>
      </c>
    </row>
    <row r="44" spans="2:41" x14ac:dyDescent="0.25">
      <c r="B44" s="9"/>
      <c r="C44" s="11">
        <f t="shared" si="0"/>
        <v>0</v>
      </c>
      <c r="D44" s="9">
        <f>IFERROR(VLOOKUP($B44,emp_info!$C$3:$U$100,19,FALSE),0)</f>
        <v>0</v>
      </c>
      <c r="E44" s="15">
        <v>0</v>
      </c>
      <c r="F44" s="9" t="e">
        <f>DATEDIF(VLOOKUP(B44,emp_info!$C$3:$U$100,6,FALSE),DATE($A$10,$A$8,DAY(VLOOKUP(B44,emp_info!$C$3:$U$100,6,FALSE))),"m")+_xlfn.IFNA(VLOOKUP(B44,emp_info!$C$3:$V$100,20,FALSE),0)</f>
        <v>#N/A</v>
      </c>
      <c r="G44" s="10"/>
      <c r="H44" s="11" t="str">
        <f t="shared" si="11"/>
        <v/>
      </c>
      <c r="I44" s="17">
        <f t="shared" si="1"/>
        <v>43404</v>
      </c>
      <c r="J44" s="21">
        <f t="shared" si="2"/>
        <v>43404</v>
      </c>
      <c r="K44" s="19">
        <f t="shared" si="3"/>
        <v>43374</v>
      </c>
      <c r="L44" s="19">
        <f t="shared" si="4"/>
        <v>43404</v>
      </c>
      <c r="M44" s="18">
        <f t="shared" si="5"/>
        <v>43374</v>
      </c>
      <c r="N44" s="18">
        <f t="shared" si="6"/>
        <v>43404</v>
      </c>
      <c r="O44" s="7" t="str">
        <f t="shared" si="7"/>
        <v xml:space="preserve">Ноль </v>
      </c>
      <c r="P44" s="7" t="str">
        <f t="shared" si="8"/>
        <v>Долларов</v>
      </c>
      <c r="Q44" s="25">
        <f t="shared" si="9"/>
        <v>43417</v>
      </c>
      <c r="R44" s="26">
        <f t="shared" si="9"/>
        <v>43417</v>
      </c>
      <c r="S44" s="26">
        <f t="shared" si="10"/>
        <v>43423</v>
      </c>
      <c r="T44" s="7" t="e">
        <f>VLOOKUP($B44,emp_info!$C$3:$U$100,2,FALSE)</f>
        <v>#N/A</v>
      </c>
      <c r="U44" s="7" t="e">
        <f>VLOOKUP($B44,emp_info!$C$3:$U$100,3,FALSE)</f>
        <v>#N/A</v>
      </c>
      <c r="V44" s="25" t="e">
        <f>VLOOKUP($B44,emp_info!$C$3:$U$100,4,FALSE)</f>
        <v>#N/A</v>
      </c>
      <c r="W44" s="7" t="e">
        <f>VLOOKUP($B44,emp_info!$C$3:$U$100,5,FALSE)</f>
        <v>#N/A</v>
      </c>
      <c r="X44" s="25" t="e">
        <f>VLOOKUP($B44,emp_info!$C$3:$U$100,6,FALSE)</f>
        <v>#N/A</v>
      </c>
      <c r="Y44" s="7" t="e">
        <f>VLOOKUP($B44,emp_info!$C$3:$U$100,7,FALSE)</f>
        <v>#N/A</v>
      </c>
      <c r="Z44" s="7" t="e">
        <f>VLOOKUP($B44,emp_info!$C$3:$U$100,8,FALSE)</f>
        <v>#N/A</v>
      </c>
      <c r="AA44" s="7" t="e">
        <f>VLOOKUP($B44,emp_info!$C$3:$U$100,11,FALSE)</f>
        <v>#N/A</v>
      </c>
      <c r="AB44" s="7" t="e">
        <f>VLOOKUP($B44,emp_info!$C$3:$U$100,12,FALSE)</f>
        <v>#N/A</v>
      </c>
      <c r="AC44" s="7" t="e">
        <f>VLOOKUP($B44,emp_info!$C$3:$U$100,13,FALSE)</f>
        <v>#N/A</v>
      </c>
      <c r="AD44" s="7" t="e">
        <f>VLOOKUP($B44,emp_info!$C$3:$U$100,14,FALSE)</f>
        <v>#N/A</v>
      </c>
      <c r="AE44" s="7" t="e">
        <f>VLOOKUP($B44,emp_info!$C$3:$U$100,15,FALSE)</f>
        <v>#N/A</v>
      </c>
      <c r="AF44" s="7" t="e">
        <f>VLOOKUP($B44,emp_info!$C$3:$U$100,16,FALSE)</f>
        <v>#N/A</v>
      </c>
      <c r="AG44" s="7" t="e">
        <f>VLOOKUP($B44,emp_info!$C$3:$U$100,17,FALSE)</f>
        <v>#N/A</v>
      </c>
      <c r="AH44" s="7" t="e">
        <f>VLOOKUP($B44,emp_info!$C$3:$U$100,18,FALSE)</f>
        <v>#N/A</v>
      </c>
      <c r="AI44" s="7" t="e">
        <f>VLOOKUP($G44,contragent!$B$3:$I$10,2,FALSE)</f>
        <v>#N/A</v>
      </c>
      <c r="AJ44" s="7" t="e">
        <f>VLOOKUP($G44,contragent!$B$3:$I$10,3,FALSE)</f>
        <v>#N/A</v>
      </c>
      <c r="AK44" s="7" t="e">
        <f>VLOOKUP($G44,contragent!$B$3:$I$10,4,FALSE)</f>
        <v>#N/A</v>
      </c>
      <c r="AL44" s="7" t="e">
        <f>VLOOKUP($G44,contragent!$B$3:$I$10,5,FALSE)</f>
        <v>#N/A</v>
      </c>
      <c r="AM44" s="7" t="e">
        <f>VLOOKUP($G44,contragent!$B$3:$I$10,6,FALSE)</f>
        <v>#N/A</v>
      </c>
      <c r="AN44" s="7" t="e">
        <f>VLOOKUP($G44,contragent!$B$3:$I$10,7,FALSE)</f>
        <v>#N/A</v>
      </c>
      <c r="AO44" s="7" t="e">
        <f>VLOOKUP($G44,contragent!$B$3:$I$10,8,FALSE)</f>
        <v>#N/A</v>
      </c>
    </row>
    <row r="45" spans="2:41" x14ac:dyDescent="0.25">
      <c r="B45" s="9"/>
      <c r="C45" s="11">
        <f t="shared" si="0"/>
        <v>0</v>
      </c>
      <c r="D45" s="9">
        <f>IFERROR(VLOOKUP($B45,emp_info!$C$3:$U$100,19,FALSE),0)</f>
        <v>0</v>
      </c>
      <c r="E45" s="15">
        <v>0</v>
      </c>
      <c r="F45" s="9" t="e">
        <f>DATEDIF(VLOOKUP(B45,emp_info!$C$3:$U$100,6,FALSE),DATE($A$10,$A$8,DAY(VLOOKUP(B45,emp_info!$C$3:$U$100,6,FALSE))),"m")+_xlfn.IFNA(VLOOKUP(B45,emp_info!$C$3:$V$100,20,FALSE),0)</f>
        <v>#N/A</v>
      </c>
      <c r="G45" s="10"/>
      <c r="H45" s="11" t="str">
        <f t="shared" si="11"/>
        <v/>
      </c>
      <c r="I45" s="17">
        <f t="shared" si="1"/>
        <v>43404</v>
      </c>
      <c r="J45" s="21">
        <f t="shared" si="2"/>
        <v>43404</v>
      </c>
      <c r="K45" s="19">
        <f t="shared" si="3"/>
        <v>43374</v>
      </c>
      <c r="L45" s="19">
        <f t="shared" si="4"/>
        <v>43404</v>
      </c>
      <c r="M45" s="18">
        <f t="shared" si="5"/>
        <v>43374</v>
      </c>
      <c r="N45" s="18">
        <f t="shared" si="6"/>
        <v>43404</v>
      </c>
      <c r="O45" s="7" t="str">
        <f t="shared" si="7"/>
        <v xml:space="preserve">Ноль </v>
      </c>
      <c r="P45" s="7" t="str">
        <f t="shared" si="8"/>
        <v>Долларов</v>
      </c>
      <c r="Q45" s="25">
        <f t="shared" si="9"/>
        <v>43417</v>
      </c>
      <c r="R45" s="26">
        <f t="shared" si="9"/>
        <v>43417</v>
      </c>
      <c r="S45" s="26">
        <f t="shared" si="10"/>
        <v>43423</v>
      </c>
      <c r="T45" s="7" t="e">
        <f>VLOOKUP($B45,emp_info!$C$3:$U$100,2,FALSE)</f>
        <v>#N/A</v>
      </c>
      <c r="U45" s="7" t="e">
        <f>VLOOKUP($B45,emp_info!$C$3:$U$100,3,FALSE)</f>
        <v>#N/A</v>
      </c>
      <c r="V45" s="25" t="e">
        <f>VLOOKUP($B45,emp_info!$C$3:$U$100,4,FALSE)</f>
        <v>#N/A</v>
      </c>
      <c r="W45" s="7" t="e">
        <f>VLOOKUP($B45,emp_info!$C$3:$U$100,5,FALSE)</f>
        <v>#N/A</v>
      </c>
      <c r="X45" s="25" t="e">
        <f>VLOOKUP($B45,emp_info!$C$3:$U$100,6,FALSE)</f>
        <v>#N/A</v>
      </c>
      <c r="Y45" s="7" t="e">
        <f>VLOOKUP($B45,emp_info!$C$3:$U$100,7,FALSE)</f>
        <v>#N/A</v>
      </c>
      <c r="Z45" s="7" t="e">
        <f>VLOOKUP($B45,emp_info!$C$3:$U$100,8,FALSE)</f>
        <v>#N/A</v>
      </c>
      <c r="AA45" s="7" t="e">
        <f>VLOOKUP($B45,emp_info!$C$3:$U$100,11,FALSE)</f>
        <v>#N/A</v>
      </c>
      <c r="AB45" s="7" t="e">
        <f>VLOOKUP($B45,emp_info!$C$3:$U$100,12,FALSE)</f>
        <v>#N/A</v>
      </c>
      <c r="AC45" s="7" t="e">
        <f>VLOOKUP($B45,emp_info!$C$3:$U$100,13,FALSE)</f>
        <v>#N/A</v>
      </c>
      <c r="AD45" s="7" t="e">
        <f>VLOOKUP($B45,emp_info!$C$3:$U$100,14,FALSE)</f>
        <v>#N/A</v>
      </c>
      <c r="AE45" s="7" t="e">
        <f>VLOOKUP($B45,emp_info!$C$3:$U$100,15,FALSE)</f>
        <v>#N/A</v>
      </c>
      <c r="AF45" s="7" t="e">
        <f>VLOOKUP($B45,emp_info!$C$3:$U$100,16,FALSE)</f>
        <v>#N/A</v>
      </c>
      <c r="AG45" s="7" t="e">
        <f>VLOOKUP($B45,emp_info!$C$3:$U$100,17,FALSE)</f>
        <v>#N/A</v>
      </c>
      <c r="AH45" s="7" t="e">
        <f>VLOOKUP($B45,emp_info!$C$3:$U$100,18,FALSE)</f>
        <v>#N/A</v>
      </c>
      <c r="AI45" s="7" t="e">
        <f>VLOOKUP($G45,contragent!$B$3:$I$10,2,FALSE)</f>
        <v>#N/A</v>
      </c>
      <c r="AJ45" s="7" t="e">
        <f>VLOOKUP($G45,contragent!$B$3:$I$10,3,FALSE)</f>
        <v>#N/A</v>
      </c>
      <c r="AK45" s="7" t="e">
        <f>VLOOKUP($G45,contragent!$B$3:$I$10,4,FALSE)</f>
        <v>#N/A</v>
      </c>
      <c r="AL45" s="7" t="e">
        <f>VLOOKUP($G45,contragent!$B$3:$I$10,5,FALSE)</f>
        <v>#N/A</v>
      </c>
      <c r="AM45" s="7" t="e">
        <f>VLOOKUP($G45,contragent!$B$3:$I$10,6,FALSE)</f>
        <v>#N/A</v>
      </c>
      <c r="AN45" s="7" t="e">
        <f>VLOOKUP($G45,contragent!$B$3:$I$10,7,FALSE)</f>
        <v>#N/A</v>
      </c>
      <c r="AO45" s="7" t="e">
        <f>VLOOKUP($G45,contragent!$B$3:$I$10,8,FALSE)</f>
        <v>#N/A</v>
      </c>
    </row>
    <row r="46" spans="2:41" x14ac:dyDescent="0.25">
      <c r="B46" s="9"/>
      <c r="C46" s="11">
        <f t="shared" si="0"/>
        <v>0</v>
      </c>
      <c r="D46" s="9">
        <f>IFERROR(VLOOKUP($B46,emp_info!$C$3:$U$100,19,FALSE),0)</f>
        <v>0</v>
      </c>
      <c r="E46" s="15">
        <v>0</v>
      </c>
      <c r="F46" s="9" t="e">
        <f>DATEDIF(VLOOKUP(B46,emp_info!$C$3:$U$100,6,FALSE),DATE($A$10,$A$8,DAY(VLOOKUP(B46,emp_info!$C$3:$U$100,6,FALSE))),"m")+_xlfn.IFNA(VLOOKUP(B46,emp_info!$C$3:$V$100,20,FALSE),0)</f>
        <v>#N/A</v>
      </c>
      <c r="G46" s="10"/>
      <c r="H46" s="11" t="str">
        <f t="shared" si="11"/>
        <v/>
      </c>
      <c r="I46" s="17">
        <f t="shared" si="1"/>
        <v>43404</v>
      </c>
      <c r="J46" s="21">
        <f t="shared" si="2"/>
        <v>43404</v>
      </c>
      <c r="K46" s="19">
        <f t="shared" si="3"/>
        <v>43374</v>
      </c>
      <c r="L46" s="19">
        <f t="shared" si="4"/>
        <v>43404</v>
      </c>
      <c r="M46" s="18">
        <f t="shared" si="5"/>
        <v>43374</v>
      </c>
      <c r="N46" s="18">
        <f t="shared" si="6"/>
        <v>43404</v>
      </c>
      <c r="O46" s="7" t="str">
        <f t="shared" si="7"/>
        <v xml:space="preserve">Ноль </v>
      </c>
      <c r="P46" s="7" t="str">
        <f t="shared" si="8"/>
        <v>Долларов</v>
      </c>
      <c r="Q46" s="25">
        <f t="shared" si="9"/>
        <v>43417</v>
      </c>
      <c r="R46" s="26">
        <f t="shared" si="9"/>
        <v>43417</v>
      </c>
      <c r="S46" s="26">
        <f t="shared" si="10"/>
        <v>43423</v>
      </c>
      <c r="T46" s="7" t="e">
        <f>VLOOKUP($B46,emp_info!$C$3:$U$100,2,FALSE)</f>
        <v>#N/A</v>
      </c>
      <c r="U46" s="7" t="e">
        <f>VLOOKUP($B46,emp_info!$C$3:$U$100,3,FALSE)</f>
        <v>#N/A</v>
      </c>
      <c r="V46" s="25" t="e">
        <f>VLOOKUP($B46,emp_info!$C$3:$U$100,4,FALSE)</f>
        <v>#N/A</v>
      </c>
      <c r="W46" s="7" t="e">
        <f>VLOOKUP($B46,emp_info!$C$3:$U$100,5,FALSE)</f>
        <v>#N/A</v>
      </c>
      <c r="X46" s="25" t="e">
        <f>VLOOKUP($B46,emp_info!$C$3:$U$100,6,FALSE)</f>
        <v>#N/A</v>
      </c>
      <c r="Y46" s="7" t="e">
        <f>VLOOKUP($B46,emp_info!$C$3:$U$100,7,FALSE)</f>
        <v>#N/A</v>
      </c>
      <c r="Z46" s="7" t="e">
        <f>VLOOKUP($B46,emp_info!$C$3:$U$100,8,FALSE)</f>
        <v>#N/A</v>
      </c>
      <c r="AA46" s="7" t="e">
        <f>VLOOKUP($B46,emp_info!$C$3:$U$100,11,FALSE)</f>
        <v>#N/A</v>
      </c>
      <c r="AB46" s="7" t="e">
        <f>VLOOKUP($B46,emp_info!$C$3:$U$100,12,FALSE)</f>
        <v>#N/A</v>
      </c>
      <c r="AC46" s="7" t="e">
        <f>VLOOKUP($B46,emp_info!$C$3:$U$100,13,FALSE)</f>
        <v>#N/A</v>
      </c>
      <c r="AD46" s="7" t="e">
        <f>VLOOKUP($B46,emp_info!$C$3:$U$100,14,FALSE)</f>
        <v>#N/A</v>
      </c>
      <c r="AE46" s="7" t="e">
        <f>VLOOKUP($B46,emp_info!$C$3:$U$100,15,FALSE)</f>
        <v>#N/A</v>
      </c>
      <c r="AF46" s="7" t="e">
        <f>VLOOKUP($B46,emp_info!$C$3:$U$100,16,FALSE)</f>
        <v>#N/A</v>
      </c>
      <c r="AG46" s="7" t="e">
        <f>VLOOKUP($B46,emp_info!$C$3:$U$100,17,FALSE)</f>
        <v>#N/A</v>
      </c>
      <c r="AH46" s="7" t="e">
        <f>VLOOKUP($B46,emp_info!$C$3:$U$100,18,FALSE)</f>
        <v>#N/A</v>
      </c>
      <c r="AI46" s="7" t="e">
        <f>VLOOKUP($G46,contragent!$B$3:$I$10,2,FALSE)</f>
        <v>#N/A</v>
      </c>
      <c r="AJ46" s="7" t="e">
        <f>VLOOKUP($G46,contragent!$B$3:$I$10,3,FALSE)</f>
        <v>#N/A</v>
      </c>
      <c r="AK46" s="7" t="e">
        <f>VLOOKUP($G46,contragent!$B$3:$I$10,4,FALSE)</f>
        <v>#N/A</v>
      </c>
      <c r="AL46" s="7" t="e">
        <f>VLOOKUP($G46,contragent!$B$3:$I$10,5,FALSE)</f>
        <v>#N/A</v>
      </c>
      <c r="AM46" s="7" t="e">
        <f>VLOOKUP($G46,contragent!$B$3:$I$10,6,FALSE)</f>
        <v>#N/A</v>
      </c>
      <c r="AN46" s="7" t="e">
        <f>VLOOKUP($G46,contragent!$B$3:$I$10,7,FALSE)</f>
        <v>#N/A</v>
      </c>
      <c r="AO46" s="7" t="e">
        <f>VLOOKUP($G46,contragent!$B$3:$I$10,8,FALSE)</f>
        <v>#N/A</v>
      </c>
    </row>
    <row r="47" spans="2:41" x14ac:dyDescent="0.25">
      <c r="B47" s="9"/>
      <c r="C47" s="11">
        <f t="shared" si="0"/>
        <v>0</v>
      </c>
      <c r="D47" s="9">
        <f>IFERROR(VLOOKUP($B47,emp_info!$C$3:$U$100,19,FALSE),0)</f>
        <v>0</v>
      </c>
      <c r="E47" s="15">
        <v>0</v>
      </c>
      <c r="F47" s="9" t="e">
        <f>DATEDIF(VLOOKUP(B47,emp_info!$C$3:$U$100,6,FALSE),DATE($A$10,$A$8,DAY(VLOOKUP(B47,emp_info!$C$3:$U$100,6,FALSE))),"m")+_xlfn.IFNA(VLOOKUP(B47,emp_info!$C$3:$V$100,20,FALSE),0)</f>
        <v>#N/A</v>
      </c>
      <c r="G47" s="10"/>
      <c r="H47" s="11" t="str">
        <f t="shared" si="11"/>
        <v/>
      </c>
      <c r="I47" s="17">
        <f t="shared" si="1"/>
        <v>43404</v>
      </c>
      <c r="J47" s="21">
        <f t="shared" si="2"/>
        <v>43404</v>
      </c>
      <c r="K47" s="19">
        <f t="shared" si="3"/>
        <v>43374</v>
      </c>
      <c r="L47" s="19">
        <f t="shared" si="4"/>
        <v>43404</v>
      </c>
      <c r="M47" s="18">
        <f t="shared" si="5"/>
        <v>43374</v>
      </c>
      <c r="N47" s="18">
        <f t="shared" si="6"/>
        <v>43404</v>
      </c>
      <c r="O47" s="7" t="str">
        <f t="shared" si="7"/>
        <v xml:space="preserve">Ноль </v>
      </c>
      <c r="P47" s="7" t="str">
        <f t="shared" si="8"/>
        <v>Долларов</v>
      </c>
      <c r="Q47" s="25">
        <f t="shared" si="9"/>
        <v>43417</v>
      </c>
      <c r="R47" s="26">
        <f t="shared" si="9"/>
        <v>43417</v>
      </c>
      <c r="S47" s="26">
        <f t="shared" si="10"/>
        <v>43423</v>
      </c>
      <c r="T47" s="7" t="e">
        <f>VLOOKUP($B47,emp_info!$C$3:$U$100,2,FALSE)</f>
        <v>#N/A</v>
      </c>
      <c r="U47" s="7" t="e">
        <f>VLOOKUP($B47,emp_info!$C$3:$U$100,3,FALSE)</f>
        <v>#N/A</v>
      </c>
      <c r="V47" s="25" t="e">
        <f>VLOOKUP($B47,emp_info!$C$3:$U$100,4,FALSE)</f>
        <v>#N/A</v>
      </c>
      <c r="W47" s="7" t="e">
        <f>VLOOKUP($B47,emp_info!$C$3:$U$100,5,FALSE)</f>
        <v>#N/A</v>
      </c>
      <c r="X47" s="25" t="e">
        <f>VLOOKUP($B47,emp_info!$C$3:$U$100,6,FALSE)</f>
        <v>#N/A</v>
      </c>
      <c r="Y47" s="7" t="e">
        <f>VLOOKUP($B47,emp_info!$C$3:$U$100,7,FALSE)</f>
        <v>#N/A</v>
      </c>
      <c r="Z47" s="7" t="e">
        <f>VLOOKUP($B47,emp_info!$C$3:$U$100,8,FALSE)</f>
        <v>#N/A</v>
      </c>
      <c r="AA47" s="7" t="e">
        <f>VLOOKUP($B47,emp_info!$C$3:$U$100,11,FALSE)</f>
        <v>#N/A</v>
      </c>
      <c r="AB47" s="7" t="e">
        <f>VLOOKUP($B47,emp_info!$C$3:$U$100,12,FALSE)</f>
        <v>#N/A</v>
      </c>
      <c r="AC47" s="7" t="e">
        <f>VLOOKUP($B47,emp_info!$C$3:$U$100,13,FALSE)</f>
        <v>#N/A</v>
      </c>
      <c r="AD47" s="7" t="e">
        <f>VLOOKUP($B47,emp_info!$C$3:$U$100,14,FALSE)</f>
        <v>#N/A</v>
      </c>
      <c r="AE47" s="7" t="e">
        <f>VLOOKUP($B47,emp_info!$C$3:$U$100,15,FALSE)</f>
        <v>#N/A</v>
      </c>
      <c r="AF47" s="7" t="e">
        <f>VLOOKUP($B47,emp_info!$C$3:$U$100,16,FALSE)</f>
        <v>#N/A</v>
      </c>
      <c r="AG47" s="7" t="e">
        <f>VLOOKUP($B47,emp_info!$C$3:$U$100,17,FALSE)</f>
        <v>#N/A</v>
      </c>
      <c r="AH47" s="7" t="e">
        <f>VLOOKUP($B47,emp_info!$C$3:$U$100,18,FALSE)</f>
        <v>#N/A</v>
      </c>
      <c r="AI47" s="7" t="e">
        <f>VLOOKUP($G47,contragent!$B$3:$I$10,2,FALSE)</f>
        <v>#N/A</v>
      </c>
      <c r="AJ47" s="7" t="e">
        <f>VLOOKUP($G47,contragent!$B$3:$I$10,3,FALSE)</f>
        <v>#N/A</v>
      </c>
      <c r="AK47" s="7" t="e">
        <f>VLOOKUP($G47,contragent!$B$3:$I$10,4,FALSE)</f>
        <v>#N/A</v>
      </c>
      <c r="AL47" s="7" t="e">
        <f>VLOOKUP($G47,contragent!$B$3:$I$10,5,FALSE)</f>
        <v>#N/A</v>
      </c>
      <c r="AM47" s="7" t="e">
        <f>VLOOKUP($G47,contragent!$B$3:$I$10,6,FALSE)</f>
        <v>#N/A</v>
      </c>
      <c r="AN47" s="7" t="e">
        <f>VLOOKUP($G47,contragent!$B$3:$I$10,7,FALSE)</f>
        <v>#N/A</v>
      </c>
      <c r="AO47" s="7" t="e">
        <f>VLOOKUP($G47,contragent!$B$3:$I$10,8,FALSE)</f>
        <v>#N/A</v>
      </c>
    </row>
    <row r="48" spans="2:41" x14ac:dyDescent="0.25">
      <c r="B48" s="9"/>
      <c r="C48" s="11">
        <f t="shared" si="0"/>
        <v>0</v>
      </c>
      <c r="D48" s="9">
        <f>IFERROR(VLOOKUP($B48,emp_info!$C$3:$U$100,19,FALSE),0)</f>
        <v>0</v>
      </c>
      <c r="E48" s="15">
        <v>0</v>
      </c>
      <c r="F48" s="9" t="e">
        <f>DATEDIF(VLOOKUP(B48,emp_info!$C$3:$U$100,6,FALSE),DATE($A$10,$A$8,DAY(VLOOKUP(B48,emp_info!$C$3:$U$100,6,FALSE))),"m")+_xlfn.IFNA(VLOOKUP(B48,emp_info!$C$3:$V$100,20,FALSE),0)</f>
        <v>#N/A</v>
      </c>
      <c r="G48" s="10"/>
      <c r="H48" s="11" t="str">
        <f t="shared" si="11"/>
        <v/>
      </c>
      <c r="I48" s="17">
        <f t="shared" si="1"/>
        <v>43404</v>
      </c>
      <c r="J48" s="21">
        <f t="shared" si="2"/>
        <v>43404</v>
      </c>
      <c r="K48" s="19">
        <f t="shared" si="3"/>
        <v>43374</v>
      </c>
      <c r="L48" s="19">
        <f t="shared" si="4"/>
        <v>43404</v>
      </c>
      <c r="M48" s="18">
        <f t="shared" si="5"/>
        <v>43374</v>
      </c>
      <c r="N48" s="18">
        <f t="shared" si="6"/>
        <v>43404</v>
      </c>
      <c r="O48" s="7" t="str">
        <f t="shared" si="7"/>
        <v xml:space="preserve">Ноль </v>
      </c>
      <c r="P48" s="7" t="str">
        <f t="shared" si="8"/>
        <v>Долларов</v>
      </c>
      <c r="Q48" s="25">
        <f t="shared" si="9"/>
        <v>43417</v>
      </c>
      <c r="R48" s="26">
        <f t="shared" si="9"/>
        <v>43417</v>
      </c>
      <c r="S48" s="26">
        <f t="shared" si="10"/>
        <v>43423</v>
      </c>
      <c r="T48" s="7" t="e">
        <f>VLOOKUP($B48,emp_info!$C$3:$U$100,2,FALSE)</f>
        <v>#N/A</v>
      </c>
      <c r="U48" s="7" t="e">
        <f>VLOOKUP($B48,emp_info!$C$3:$U$100,3,FALSE)</f>
        <v>#N/A</v>
      </c>
      <c r="V48" s="25" t="e">
        <f>VLOOKUP($B48,emp_info!$C$3:$U$100,4,FALSE)</f>
        <v>#N/A</v>
      </c>
      <c r="W48" s="7" t="e">
        <f>VLOOKUP($B48,emp_info!$C$3:$U$100,5,FALSE)</f>
        <v>#N/A</v>
      </c>
      <c r="X48" s="25" t="e">
        <f>VLOOKUP($B48,emp_info!$C$3:$U$100,6,FALSE)</f>
        <v>#N/A</v>
      </c>
      <c r="Y48" s="7" t="e">
        <f>VLOOKUP($B48,emp_info!$C$3:$U$100,7,FALSE)</f>
        <v>#N/A</v>
      </c>
      <c r="Z48" s="7" t="e">
        <f>VLOOKUP($B48,emp_info!$C$3:$U$100,8,FALSE)</f>
        <v>#N/A</v>
      </c>
      <c r="AA48" s="7" t="e">
        <f>VLOOKUP($B48,emp_info!$C$3:$U$100,11,FALSE)</f>
        <v>#N/A</v>
      </c>
      <c r="AB48" s="7" t="e">
        <f>VLOOKUP($B48,emp_info!$C$3:$U$100,12,FALSE)</f>
        <v>#N/A</v>
      </c>
      <c r="AC48" s="7" t="e">
        <f>VLOOKUP($B48,emp_info!$C$3:$U$100,13,FALSE)</f>
        <v>#N/A</v>
      </c>
      <c r="AD48" s="7" t="e">
        <f>VLOOKUP($B48,emp_info!$C$3:$U$100,14,FALSE)</f>
        <v>#N/A</v>
      </c>
      <c r="AE48" s="7" t="e">
        <f>VLOOKUP($B48,emp_info!$C$3:$U$100,15,FALSE)</f>
        <v>#N/A</v>
      </c>
      <c r="AF48" s="7" t="e">
        <f>VLOOKUP($B48,emp_info!$C$3:$U$100,16,FALSE)</f>
        <v>#N/A</v>
      </c>
      <c r="AG48" s="7" t="e">
        <f>VLOOKUP($B48,emp_info!$C$3:$U$100,17,FALSE)</f>
        <v>#N/A</v>
      </c>
      <c r="AH48" s="7" t="e">
        <f>VLOOKUP($B48,emp_info!$C$3:$U$100,18,FALSE)</f>
        <v>#N/A</v>
      </c>
      <c r="AI48" s="7" t="e">
        <f>VLOOKUP($G48,contragent!$B$3:$I$10,2,FALSE)</f>
        <v>#N/A</v>
      </c>
      <c r="AJ48" s="7" t="e">
        <f>VLOOKUP($G48,contragent!$B$3:$I$10,3,FALSE)</f>
        <v>#N/A</v>
      </c>
      <c r="AK48" s="7" t="e">
        <f>VLOOKUP($G48,contragent!$B$3:$I$10,4,FALSE)</f>
        <v>#N/A</v>
      </c>
      <c r="AL48" s="7" t="e">
        <f>VLOOKUP($G48,contragent!$B$3:$I$10,5,FALSE)</f>
        <v>#N/A</v>
      </c>
      <c r="AM48" s="7" t="e">
        <f>VLOOKUP($G48,contragent!$B$3:$I$10,6,FALSE)</f>
        <v>#N/A</v>
      </c>
      <c r="AN48" s="7" t="e">
        <f>VLOOKUP($G48,contragent!$B$3:$I$10,7,FALSE)</f>
        <v>#N/A</v>
      </c>
      <c r="AO48" s="7" t="e">
        <f>VLOOKUP($G48,contragent!$B$3:$I$10,8,FALSE)</f>
        <v>#N/A</v>
      </c>
    </row>
    <row r="49" spans="2:41" x14ac:dyDescent="0.25">
      <c r="B49" s="9"/>
      <c r="C49" s="11">
        <f t="shared" si="0"/>
        <v>0</v>
      </c>
      <c r="D49" s="9">
        <f>IFERROR(VLOOKUP($B49,emp_info!$C$3:$U$100,19,FALSE),0)</f>
        <v>0</v>
      </c>
      <c r="E49" s="15">
        <v>0</v>
      </c>
      <c r="F49" s="9" t="e">
        <f>DATEDIF(VLOOKUP(B49,emp_info!$C$3:$U$100,6,FALSE),DATE($A$10,$A$8,DAY(VLOOKUP(B49,emp_info!$C$3:$U$100,6,FALSE))),"m")+_xlfn.IFNA(VLOOKUP(B49,emp_info!$C$3:$V$100,20,FALSE),0)</f>
        <v>#N/A</v>
      </c>
      <c r="G49" s="10"/>
      <c r="H49" s="11" t="str">
        <f t="shared" si="11"/>
        <v/>
      </c>
      <c r="I49" s="17">
        <f t="shared" si="1"/>
        <v>43404</v>
      </c>
      <c r="J49" s="21">
        <f t="shared" si="2"/>
        <v>43404</v>
      </c>
      <c r="K49" s="19">
        <f t="shared" si="3"/>
        <v>43374</v>
      </c>
      <c r="L49" s="19">
        <f t="shared" si="4"/>
        <v>43404</v>
      </c>
      <c r="M49" s="18">
        <f t="shared" si="5"/>
        <v>43374</v>
      </c>
      <c r="N49" s="18">
        <f t="shared" si="6"/>
        <v>43404</v>
      </c>
      <c r="O49" s="7" t="str">
        <f t="shared" si="7"/>
        <v xml:space="preserve">Ноль </v>
      </c>
      <c r="P49" s="7" t="str">
        <f t="shared" si="8"/>
        <v>Долларов</v>
      </c>
      <c r="Q49" s="25">
        <f t="shared" si="9"/>
        <v>43417</v>
      </c>
      <c r="R49" s="26">
        <f t="shared" si="9"/>
        <v>43417</v>
      </c>
      <c r="S49" s="26">
        <f t="shared" si="10"/>
        <v>43423</v>
      </c>
      <c r="T49" s="7" t="e">
        <f>VLOOKUP($B49,emp_info!$C$3:$U$100,2,FALSE)</f>
        <v>#N/A</v>
      </c>
      <c r="U49" s="7" t="e">
        <f>VLOOKUP($B49,emp_info!$C$3:$U$100,3,FALSE)</f>
        <v>#N/A</v>
      </c>
      <c r="V49" s="25" t="e">
        <f>VLOOKUP($B49,emp_info!$C$3:$U$100,4,FALSE)</f>
        <v>#N/A</v>
      </c>
      <c r="W49" s="7" t="e">
        <f>VLOOKUP($B49,emp_info!$C$3:$U$100,5,FALSE)</f>
        <v>#N/A</v>
      </c>
      <c r="X49" s="25" t="e">
        <f>VLOOKUP($B49,emp_info!$C$3:$U$100,6,FALSE)</f>
        <v>#N/A</v>
      </c>
      <c r="Y49" s="7" t="e">
        <f>VLOOKUP($B49,emp_info!$C$3:$U$100,7,FALSE)</f>
        <v>#N/A</v>
      </c>
      <c r="Z49" s="7" t="e">
        <f>VLOOKUP($B49,emp_info!$C$3:$U$100,8,FALSE)</f>
        <v>#N/A</v>
      </c>
      <c r="AA49" s="7" t="e">
        <f>VLOOKUP($B49,emp_info!$C$3:$U$100,11,FALSE)</f>
        <v>#N/A</v>
      </c>
      <c r="AB49" s="7" t="e">
        <f>VLOOKUP($B49,emp_info!$C$3:$U$100,12,FALSE)</f>
        <v>#N/A</v>
      </c>
      <c r="AC49" s="7" t="e">
        <f>VLOOKUP($B49,emp_info!$C$3:$U$100,13,FALSE)</f>
        <v>#N/A</v>
      </c>
      <c r="AD49" s="7" t="e">
        <f>VLOOKUP($B49,emp_info!$C$3:$U$100,14,FALSE)</f>
        <v>#N/A</v>
      </c>
      <c r="AE49" s="7" t="e">
        <f>VLOOKUP($B49,emp_info!$C$3:$U$100,15,FALSE)</f>
        <v>#N/A</v>
      </c>
      <c r="AF49" s="7" t="e">
        <f>VLOOKUP($B49,emp_info!$C$3:$U$100,16,FALSE)</f>
        <v>#N/A</v>
      </c>
      <c r="AG49" s="7" t="e">
        <f>VLOOKUP($B49,emp_info!$C$3:$U$100,17,FALSE)</f>
        <v>#N/A</v>
      </c>
      <c r="AH49" s="7" t="e">
        <f>VLOOKUP($B49,emp_info!$C$3:$U$100,18,FALSE)</f>
        <v>#N/A</v>
      </c>
      <c r="AI49" s="7" t="e">
        <f>VLOOKUP($G49,contragent!$B$3:$I$10,2,FALSE)</f>
        <v>#N/A</v>
      </c>
      <c r="AJ49" s="7" t="e">
        <f>VLOOKUP($G49,contragent!$B$3:$I$10,3,FALSE)</f>
        <v>#N/A</v>
      </c>
      <c r="AK49" s="7" t="e">
        <f>VLOOKUP($G49,contragent!$B$3:$I$10,4,FALSE)</f>
        <v>#N/A</v>
      </c>
      <c r="AL49" s="7" t="e">
        <f>VLOOKUP($G49,contragent!$B$3:$I$10,5,FALSE)</f>
        <v>#N/A</v>
      </c>
      <c r="AM49" s="7" t="e">
        <f>VLOOKUP($G49,contragent!$B$3:$I$10,6,FALSE)</f>
        <v>#N/A</v>
      </c>
      <c r="AN49" s="7" t="e">
        <f>VLOOKUP($G49,contragent!$B$3:$I$10,7,FALSE)</f>
        <v>#N/A</v>
      </c>
      <c r="AO49" s="7" t="e">
        <f>VLOOKUP($G49,contragent!$B$3:$I$10,8,FALSE)</f>
        <v>#N/A</v>
      </c>
    </row>
    <row r="50" spans="2:41" x14ac:dyDescent="0.25">
      <c r="B50" s="9"/>
      <c r="C50" s="11">
        <f t="shared" si="0"/>
        <v>0</v>
      </c>
      <c r="D50" s="9">
        <f>IFERROR(VLOOKUP($B50,emp_info!$C$3:$U$100,19,FALSE),0)</f>
        <v>0</v>
      </c>
      <c r="E50" s="15">
        <v>0</v>
      </c>
      <c r="F50" s="9" t="e">
        <f>DATEDIF(VLOOKUP(B50,emp_info!$C$3:$U$100,6,FALSE),DATE($A$10,$A$8,DAY(VLOOKUP(B50,emp_info!$C$3:$U$100,6,FALSE))),"m")+_xlfn.IFNA(VLOOKUP(B50,emp_info!$C$3:$V$100,20,FALSE),0)</f>
        <v>#N/A</v>
      </c>
      <c r="G50" s="10"/>
      <c r="H50" s="11" t="str">
        <f t="shared" si="11"/>
        <v/>
      </c>
      <c r="I50" s="17">
        <f t="shared" si="1"/>
        <v>43404</v>
      </c>
      <c r="J50" s="21">
        <f t="shared" si="2"/>
        <v>43404</v>
      </c>
      <c r="K50" s="19">
        <f t="shared" si="3"/>
        <v>43374</v>
      </c>
      <c r="L50" s="19">
        <f t="shared" si="4"/>
        <v>43404</v>
      </c>
      <c r="M50" s="18">
        <f t="shared" si="5"/>
        <v>43374</v>
      </c>
      <c r="N50" s="18">
        <f t="shared" si="6"/>
        <v>43404</v>
      </c>
      <c r="O50" s="7" t="str">
        <f t="shared" si="7"/>
        <v xml:space="preserve">Ноль </v>
      </c>
      <c r="P50" s="7" t="str">
        <f t="shared" si="8"/>
        <v>Долларов</v>
      </c>
      <c r="Q50" s="25">
        <f t="shared" si="9"/>
        <v>43417</v>
      </c>
      <c r="R50" s="26">
        <f t="shared" si="9"/>
        <v>43417</v>
      </c>
      <c r="S50" s="26">
        <f t="shared" si="10"/>
        <v>43423</v>
      </c>
      <c r="T50" s="7" t="e">
        <f>VLOOKUP($B50,emp_info!$C$3:$U$100,2,FALSE)</f>
        <v>#N/A</v>
      </c>
      <c r="U50" s="7" t="e">
        <f>VLOOKUP($B50,emp_info!$C$3:$U$100,3,FALSE)</f>
        <v>#N/A</v>
      </c>
      <c r="V50" s="25" t="e">
        <f>VLOOKUP($B50,emp_info!$C$3:$U$100,4,FALSE)</f>
        <v>#N/A</v>
      </c>
      <c r="W50" s="7" t="e">
        <f>VLOOKUP($B50,emp_info!$C$3:$U$100,5,FALSE)</f>
        <v>#N/A</v>
      </c>
      <c r="X50" s="25" t="e">
        <f>VLOOKUP($B50,emp_info!$C$3:$U$100,6,FALSE)</f>
        <v>#N/A</v>
      </c>
      <c r="Y50" s="7" t="e">
        <f>VLOOKUP($B50,emp_info!$C$3:$U$100,7,FALSE)</f>
        <v>#N/A</v>
      </c>
      <c r="Z50" s="7" t="e">
        <f>VLOOKUP($B50,emp_info!$C$3:$U$100,8,FALSE)</f>
        <v>#N/A</v>
      </c>
      <c r="AA50" s="7" t="e">
        <f>VLOOKUP($B50,emp_info!$C$3:$U$100,11,FALSE)</f>
        <v>#N/A</v>
      </c>
      <c r="AB50" s="7" t="e">
        <f>VLOOKUP($B50,emp_info!$C$3:$U$100,12,FALSE)</f>
        <v>#N/A</v>
      </c>
      <c r="AC50" s="7" t="e">
        <f>VLOOKUP($B50,emp_info!$C$3:$U$100,13,FALSE)</f>
        <v>#N/A</v>
      </c>
      <c r="AD50" s="7" t="e">
        <f>VLOOKUP($B50,emp_info!$C$3:$U$100,14,FALSE)</f>
        <v>#N/A</v>
      </c>
      <c r="AE50" s="7" t="e">
        <f>VLOOKUP($B50,emp_info!$C$3:$U$100,15,FALSE)</f>
        <v>#N/A</v>
      </c>
      <c r="AF50" s="7" t="e">
        <f>VLOOKUP($B50,emp_info!$C$3:$U$100,16,FALSE)</f>
        <v>#N/A</v>
      </c>
      <c r="AG50" s="7" t="e">
        <f>VLOOKUP($B50,emp_info!$C$3:$U$100,17,FALSE)</f>
        <v>#N/A</v>
      </c>
      <c r="AH50" s="7" t="e">
        <f>VLOOKUP($B50,emp_info!$C$3:$U$100,18,FALSE)</f>
        <v>#N/A</v>
      </c>
      <c r="AI50" s="7" t="e">
        <f>VLOOKUP($G50,contragent!$B$3:$I$10,2,FALSE)</f>
        <v>#N/A</v>
      </c>
      <c r="AJ50" s="7" t="e">
        <f>VLOOKUP($G50,contragent!$B$3:$I$10,3,FALSE)</f>
        <v>#N/A</v>
      </c>
      <c r="AK50" s="7" t="e">
        <f>VLOOKUP($G50,contragent!$B$3:$I$10,4,FALSE)</f>
        <v>#N/A</v>
      </c>
      <c r="AL50" s="7" t="e">
        <f>VLOOKUP($G50,contragent!$B$3:$I$10,5,FALSE)</f>
        <v>#N/A</v>
      </c>
      <c r="AM50" s="7" t="e">
        <f>VLOOKUP($G50,contragent!$B$3:$I$10,6,FALSE)</f>
        <v>#N/A</v>
      </c>
      <c r="AN50" s="7" t="e">
        <f>VLOOKUP($G50,contragent!$B$3:$I$10,7,FALSE)</f>
        <v>#N/A</v>
      </c>
      <c r="AO50" s="7" t="e">
        <f>VLOOKUP($G50,contragent!$B$3:$I$10,8,FALSE)</f>
        <v>#N/A</v>
      </c>
    </row>
    <row r="51" spans="2:41" x14ac:dyDescent="0.25">
      <c r="B51" s="9"/>
      <c r="C51" s="11">
        <f t="shared" si="0"/>
        <v>0</v>
      </c>
      <c r="D51" s="9">
        <f>IFERROR(VLOOKUP($B51,emp_info!$C$3:$U$100,19,FALSE),0)</f>
        <v>0</v>
      </c>
      <c r="E51" s="15">
        <v>0</v>
      </c>
      <c r="F51" s="9" t="e">
        <f>DATEDIF(VLOOKUP(B51,emp_info!$C$3:$U$100,6,FALSE),DATE($A$10,$A$8,DAY(VLOOKUP(B51,emp_info!$C$3:$U$100,6,FALSE))),"m")+_xlfn.IFNA(VLOOKUP(B51,emp_info!$C$3:$V$100,20,FALSE),0)</f>
        <v>#N/A</v>
      </c>
      <c r="G51" s="10"/>
      <c r="H51" s="11" t="str">
        <f t="shared" si="11"/>
        <v/>
      </c>
      <c r="I51" s="17">
        <f t="shared" si="1"/>
        <v>43404</v>
      </c>
      <c r="J51" s="21">
        <f t="shared" si="2"/>
        <v>43404</v>
      </c>
      <c r="K51" s="19">
        <f t="shared" si="3"/>
        <v>43374</v>
      </c>
      <c r="L51" s="19">
        <f t="shared" si="4"/>
        <v>43404</v>
      </c>
      <c r="M51" s="18">
        <f t="shared" si="5"/>
        <v>43374</v>
      </c>
      <c r="N51" s="18">
        <f t="shared" si="6"/>
        <v>43404</v>
      </c>
      <c r="O51" s="7" t="str">
        <f t="shared" si="7"/>
        <v xml:space="preserve">Ноль </v>
      </c>
      <c r="P51" s="7" t="str">
        <f t="shared" si="8"/>
        <v>Долларов</v>
      </c>
      <c r="Q51" s="25">
        <f t="shared" si="9"/>
        <v>43417</v>
      </c>
      <c r="R51" s="26">
        <f t="shared" si="9"/>
        <v>43417</v>
      </c>
      <c r="S51" s="26">
        <f t="shared" si="10"/>
        <v>43423</v>
      </c>
      <c r="T51" s="7" t="e">
        <f>VLOOKUP($B51,emp_info!$C$3:$U$100,2,FALSE)</f>
        <v>#N/A</v>
      </c>
      <c r="U51" s="7" t="e">
        <f>VLOOKUP($B51,emp_info!$C$3:$U$100,3,FALSE)</f>
        <v>#N/A</v>
      </c>
      <c r="V51" s="25" t="e">
        <f>VLOOKUP($B51,emp_info!$C$3:$U$100,4,FALSE)</f>
        <v>#N/A</v>
      </c>
      <c r="W51" s="7" t="e">
        <f>VLOOKUP($B51,emp_info!$C$3:$U$100,5,FALSE)</f>
        <v>#N/A</v>
      </c>
      <c r="X51" s="25" t="e">
        <f>VLOOKUP($B51,emp_info!$C$3:$U$100,6,FALSE)</f>
        <v>#N/A</v>
      </c>
      <c r="Y51" s="7" t="e">
        <f>VLOOKUP($B51,emp_info!$C$3:$U$100,7,FALSE)</f>
        <v>#N/A</v>
      </c>
      <c r="Z51" s="7" t="e">
        <f>VLOOKUP($B51,emp_info!$C$3:$U$100,8,FALSE)</f>
        <v>#N/A</v>
      </c>
      <c r="AA51" s="7" t="e">
        <f>VLOOKUP($B51,emp_info!$C$3:$U$100,11,FALSE)</f>
        <v>#N/A</v>
      </c>
      <c r="AB51" s="7" t="e">
        <f>VLOOKUP($B51,emp_info!$C$3:$U$100,12,FALSE)</f>
        <v>#N/A</v>
      </c>
      <c r="AC51" s="7" t="e">
        <f>VLOOKUP($B51,emp_info!$C$3:$U$100,13,FALSE)</f>
        <v>#N/A</v>
      </c>
      <c r="AD51" s="7" t="e">
        <f>VLOOKUP($B51,emp_info!$C$3:$U$100,14,FALSE)</f>
        <v>#N/A</v>
      </c>
      <c r="AE51" s="7" t="e">
        <f>VLOOKUP($B51,emp_info!$C$3:$U$100,15,FALSE)</f>
        <v>#N/A</v>
      </c>
      <c r="AF51" s="7" t="e">
        <f>VLOOKUP($B51,emp_info!$C$3:$U$100,16,FALSE)</f>
        <v>#N/A</v>
      </c>
      <c r="AG51" s="7" t="e">
        <f>VLOOKUP($B51,emp_info!$C$3:$U$100,17,FALSE)</f>
        <v>#N/A</v>
      </c>
      <c r="AH51" s="7" t="e">
        <f>VLOOKUP($B51,emp_info!$C$3:$U$100,18,FALSE)</f>
        <v>#N/A</v>
      </c>
      <c r="AI51" s="7" t="e">
        <f>VLOOKUP($G51,contragent!$B$3:$I$10,2,FALSE)</f>
        <v>#N/A</v>
      </c>
      <c r="AJ51" s="7" t="e">
        <f>VLOOKUP($G51,contragent!$B$3:$I$10,3,FALSE)</f>
        <v>#N/A</v>
      </c>
      <c r="AK51" s="7" t="e">
        <f>VLOOKUP($G51,contragent!$B$3:$I$10,4,FALSE)</f>
        <v>#N/A</v>
      </c>
      <c r="AL51" s="7" t="e">
        <f>VLOOKUP($G51,contragent!$B$3:$I$10,5,FALSE)</f>
        <v>#N/A</v>
      </c>
      <c r="AM51" s="7" t="e">
        <f>VLOOKUP($G51,contragent!$B$3:$I$10,6,FALSE)</f>
        <v>#N/A</v>
      </c>
      <c r="AN51" s="7" t="e">
        <f>VLOOKUP($G51,contragent!$B$3:$I$10,7,FALSE)</f>
        <v>#N/A</v>
      </c>
      <c r="AO51" s="7" t="e">
        <f>VLOOKUP($G51,contragent!$B$3:$I$10,8,FALSE)</f>
        <v>#N/A</v>
      </c>
    </row>
    <row r="52" spans="2:41" x14ac:dyDescent="0.25">
      <c r="B52" s="9"/>
      <c r="C52" s="11">
        <f t="shared" si="0"/>
        <v>0</v>
      </c>
      <c r="D52" s="9">
        <f>IFERROR(VLOOKUP($B52,emp_info!$C$3:$U$100,19,FALSE),0)</f>
        <v>0</v>
      </c>
      <c r="E52" s="15">
        <v>0</v>
      </c>
      <c r="F52" s="9" t="e">
        <f>DATEDIF(VLOOKUP(B52,emp_info!$C$3:$U$100,6,FALSE),DATE($A$10,$A$8,DAY(VLOOKUP(B52,emp_info!$C$3:$U$100,6,FALSE))),"m")+_xlfn.IFNA(VLOOKUP(B52,emp_info!$C$3:$V$100,20,FALSE),0)</f>
        <v>#N/A</v>
      </c>
      <c r="G52" s="10"/>
      <c r="H52" s="11" t="str">
        <f t="shared" si="11"/>
        <v/>
      </c>
      <c r="I52" s="17">
        <f t="shared" si="1"/>
        <v>43404</v>
      </c>
      <c r="J52" s="21">
        <f t="shared" si="2"/>
        <v>43404</v>
      </c>
      <c r="K52" s="19">
        <f t="shared" si="3"/>
        <v>43374</v>
      </c>
      <c r="L52" s="19">
        <f t="shared" si="4"/>
        <v>43404</v>
      </c>
      <c r="M52" s="18">
        <f t="shared" si="5"/>
        <v>43374</v>
      </c>
      <c r="N52" s="18">
        <f t="shared" si="6"/>
        <v>43404</v>
      </c>
      <c r="O52" s="7" t="str">
        <f t="shared" si="7"/>
        <v xml:space="preserve">Ноль </v>
      </c>
      <c r="P52" s="7" t="str">
        <f t="shared" si="8"/>
        <v>Долларов</v>
      </c>
      <c r="Q52" s="25">
        <f t="shared" si="9"/>
        <v>43417</v>
      </c>
      <c r="R52" s="26">
        <f t="shared" si="9"/>
        <v>43417</v>
      </c>
      <c r="S52" s="26">
        <f t="shared" si="10"/>
        <v>43423</v>
      </c>
      <c r="T52" s="7" t="e">
        <f>VLOOKUP($B52,emp_info!$C$3:$U$100,2,FALSE)</f>
        <v>#N/A</v>
      </c>
      <c r="U52" s="7" t="e">
        <f>VLOOKUP($B52,emp_info!$C$3:$U$100,3,FALSE)</f>
        <v>#N/A</v>
      </c>
      <c r="V52" s="25" t="e">
        <f>VLOOKUP($B52,emp_info!$C$3:$U$100,4,FALSE)</f>
        <v>#N/A</v>
      </c>
      <c r="W52" s="7" t="e">
        <f>VLOOKUP($B52,emp_info!$C$3:$U$100,5,FALSE)</f>
        <v>#N/A</v>
      </c>
      <c r="X52" s="25" t="e">
        <f>VLOOKUP($B52,emp_info!$C$3:$U$100,6,FALSE)</f>
        <v>#N/A</v>
      </c>
      <c r="Y52" s="7" t="e">
        <f>VLOOKUP($B52,emp_info!$C$3:$U$100,7,FALSE)</f>
        <v>#N/A</v>
      </c>
      <c r="Z52" s="7" t="e">
        <f>VLOOKUP($B52,emp_info!$C$3:$U$100,8,FALSE)</f>
        <v>#N/A</v>
      </c>
      <c r="AA52" s="7" t="e">
        <f>VLOOKUP($B52,emp_info!$C$3:$U$100,11,FALSE)</f>
        <v>#N/A</v>
      </c>
      <c r="AB52" s="7" t="e">
        <f>VLOOKUP($B52,emp_info!$C$3:$U$100,12,FALSE)</f>
        <v>#N/A</v>
      </c>
      <c r="AC52" s="7" t="e">
        <f>VLOOKUP($B52,emp_info!$C$3:$U$100,13,FALSE)</f>
        <v>#N/A</v>
      </c>
      <c r="AD52" s="7" t="e">
        <f>VLOOKUP($B52,emp_info!$C$3:$U$100,14,FALSE)</f>
        <v>#N/A</v>
      </c>
      <c r="AE52" s="7" t="e">
        <f>VLOOKUP($B52,emp_info!$C$3:$U$100,15,FALSE)</f>
        <v>#N/A</v>
      </c>
      <c r="AF52" s="7" t="e">
        <f>VLOOKUP($B52,emp_info!$C$3:$U$100,16,FALSE)</f>
        <v>#N/A</v>
      </c>
      <c r="AG52" s="7" t="e">
        <f>VLOOKUP($B52,emp_info!$C$3:$U$100,17,FALSE)</f>
        <v>#N/A</v>
      </c>
      <c r="AH52" s="7" t="e">
        <f>VLOOKUP($B52,emp_info!$C$3:$U$100,18,FALSE)</f>
        <v>#N/A</v>
      </c>
      <c r="AI52" s="7" t="e">
        <f>VLOOKUP($G52,contragent!$B$3:$I$10,2,FALSE)</f>
        <v>#N/A</v>
      </c>
      <c r="AJ52" s="7" t="e">
        <f>VLOOKUP($G52,contragent!$B$3:$I$10,3,FALSE)</f>
        <v>#N/A</v>
      </c>
      <c r="AK52" s="7" t="e">
        <f>VLOOKUP($G52,contragent!$B$3:$I$10,4,FALSE)</f>
        <v>#N/A</v>
      </c>
      <c r="AL52" s="7" t="e">
        <f>VLOOKUP($G52,contragent!$B$3:$I$10,5,FALSE)</f>
        <v>#N/A</v>
      </c>
      <c r="AM52" s="7" t="e">
        <f>VLOOKUP($G52,contragent!$B$3:$I$10,6,FALSE)</f>
        <v>#N/A</v>
      </c>
      <c r="AN52" s="7" t="e">
        <f>VLOOKUP($G52,contragent!$B$3:$I$10,7,FALSE)</f>
        <v>#N/A</v>
      </c>
      <c r="AO52" s="7" t="e">
        <f>VLOOKUP($G52,contragent!$B$3:$I$10,8,FALSE)</f>
        <v>#N/A</v>
      </c>
    </row>
    <row r="53" spans="2:41" x14ac:dyDescent="0.25">
      <c r="B53" s="9"/>
      <c r="C53" s="11">
        <f t="shared" si="0"/>
        <v>0</v>
      </c>
      <c r="D53" s="9">
        <f>IFERROR(VLOOKUP($B53,emp_info!$C$3:$U$100,19,FALSE),0)</f>
        <v>0</v>
      </c>
      <c r="E53" s="15">
        <v>0</v>
      </c>
      <c r="F53" s="9" t="e">
        <f>DATEDIF(VLOOKUP(B53,emp_info!$C$3:$U$100,6,FALSE),DATE($A$10,$A$8,DAY(VLOOKUP(B53,emp_info!$C$3:$U$100,6,FALSE))),"m")+_xlfn.IFNA(VLOOKUP(B53,emp_info!$C$3:$V$100,20,FALSE),0)</f>
        <v>#N/A</v>
      </c>
      <c r="G53" s="10"/>
      <c r="H53" s="11" t="str">
        <f t="shared" si="11"/>
        <v/>
      </c>
      <c r="I53" s="17">
        <f t="shared" si="1"/>
        <v>43404</v>
      </c>
      <c r="J53" s="21">
        <f t="shared" si="2"/>
        <v>43404</v>
      </c>
      <c r="K53" s="19">
        <f t="shared" si="3"/>
        <v>43374</v>
      </c>
      <c r="L53" s="19">
        <f t="shared" si="4"/>
        <v>43404</v>
      </c>
      <c r="M53" s="18">
        <f t="shared" si="5"/>
        <v>43374</v>
      </c>
      <c r="N53" s="18">
        <f t="shared" si="6"/>
        <v>43404</v>
      </c>
      <c r="O53" s="7" t="str">
        <f t="shared" si="7"/>
        <v xml:space="preserve">Ноль </v>
      </c>
      <c r="P53" s="7" t="str">
        <f t="shared" si="8"/>
        <v>Долларов</v>
      </c>
      <c r="Q53" s="25">
        <f t="shared" si="9"/>
        <v>43417</v>
      </c>
      <c r="R53" s="26">
        <f t="shared" si="9"/>
        <v>43417</v>
      </c>
      <c r="S53" s="26">
        <f t="shared" si="10"/>
        <v>43423</v>
      </c>
      <c r="T53" s="7" t="e">
        <f>VLOOKUP($B53,emp_info!$C$3:$U$100,2,FALSE)</f>
        <v>#N/A</v>
      </c>
      <c r="U53" s="7" t="e">
        <f>VLOOKUP($B53,emp_info!$C$3:$U$100,3,FALSE)</f>
        <v>#N/A</v>
      </c>
      <c r="V53" s="25" t="e">
        <f>VLOOKUP($B53,emp_info!$C$3:$U$100,4,FALSE)</f>
        <v>#N/A</v>
      </c>
      <c r="W53" s="7" t="e">
        <f>VLOOKUP($B53,emp_info!$C$3:$U$100,5,FALSE)</f>
        <v>#N/A</v>
      </c>
      <c r="X53" s="25" t="e">
        <f>VLOOKUP($B53,emp_info!$C$3:$U$100,6,FALSE)</f>
        <v>#N/A</v>
      </c>
      <c r="Y53" s="7" t="e">
        <f>VLOOKUP($B53,emp_info!$C$3:$U$100,7,FALSE)</f>
        <v>#N/A</v>
      </c>
      <c r="Z53" s="7" t="e">
        <f>VLOOKUP($B53,emp_info!$C$3:$U$100,8,FALSE)</f>
        <v>#N/A</v>
      </c>
      <c r="AA53" s="7" t="e">
        <f>VLOOKUP($B53,emp_info!$C$3:$U$100,11,FALSE)</f>
        <v>#N/A</v>
      </c>
      <c r="AB53" s="7" t="e">
        <f>VLOOKUP($B53,emp_info!$C$3:$U$100,12,FALSE)</f>
        <v>#N/A</v>
      </c>
      <c r="AC53" s="7" t="e">
        <f>VLOOKUP($B53,emp_info!$C$3:$U$100,13,FALSE)</f>
        <v>#N/A</v>
      </c>
      <c r="AD53" s="7" t="e">
        <f>VLOOKUP($B53,emp_info!$C$3:$U$100,14,FALSE)</f>
        <v>#N/A</v>
      </c>
      <c r="AE53" s="7" t="e">
        <f>VLOOKUP($B53,emp_info!$C$3:$U$100,15,FALSE)</f>
        <v>#N/A</v>
      </c>
      <c r="AF53" s="7" t="e">
        <f>VLOOKUP($B53,emp_info!$C$3:$U$100,16,FALSE)</f>
        <v>#N/A</v>
      </c>
      <c r="AG53" s="7" t="e">
        <f>VLOOKUP($B53,emp_info!$C$3:$U$100,17,FALSE)</f>
        <v>#N/A</v>
      </c>
      <c r="AH53" s="7" t="e">
        <f>VLOOKUP($B53,emp_info!$C$3:$U$100,18,FALSE)</f>
        <v>#N/A</v>
      </c>
      <c r="AI53" s="7" t="e">
        <f>VLOOKUP($G53,contragent!$B$3:$I$10,2,FALSE)</f>
        <v>#N/A</v>
      </c>
      <c r="AJ53" s="7" t="e">
        <f>VLOOKUP($G53,contragent!$B$3:$I$10,3,FALSE)</f>
        <v>#N/A</v>
      </c>
      <c r="AK53" s="7" t="e">
        <f>VLOOKUP($G53,contragent!$B$3:$I$10,4,FALSE)</f>
        <v>#N/A</v>
      </c>
      <c r="AL53" s="7" t="e">
        <f>VLOOKUP($G53,contragent!$B$3:$I$10,5,FALSE)</f>
        <v>#N/A</v>
      </c>
      <c r="AM53" s="7" t="e">
        <f>VLOOKUP($G53,contragent!$B$3:$I$10,6,FALSE)</f>
        <v>#N/A</v>
      </c>
      <c r="AN53" s="7" t="e">
        <f>VLOOKUP($G53,contragent!$B$3:$I$10,7,FALSE)</f>
        <v>#N/A</v>
      </c>
      <c r="AO53" s="7" t="e">
        <f>VLOOKUP($G53,contragent!$B$3:$I$10,8,FALSE)</f>
        <v>#N/A</v>
      </c>
    </row>
    <row r="54" spans="2:41" x14ac:dyDescent="0.25">
      <c r="B54" s="9"/>
      <c r="C54" s="11">
        <f t="shared" si="0"/>
        <v>0</v>
      </c>
      <c r="D54" s="9">
        <f>IFERROR(VLOOKUP($B54,emp_info!$C$3:$U$100,19,FALSE),0)</f>
        <v>0</v>
      </c>
      <c r="E54" s="15">
        <v>0</v>
      </c>
      <c r="F54" s="9" t="e">
        <f>DATEDIF(VLOOKUP(B54,emp_info!$C$3:$U$100,6,FALSE),DATE($A$10,$A$8,DAY(VLOOKUP(B54,emp_info!$C$3:$U$100,6,FALSE))),"m")+_xlfn.IFNA(VLOOKUP(B54,emp_info!$C$3:$V$100,20,FALSE),0)</f>
        <v>#N/A</v>
      </c>
      <c r="G54" s="10"/>
      <c r="H54" s="11" t="str">
        <f t="shared" si="11"/>
        <v/>
      </c>
      <c r="I54" s="17">
        <f t="shared" si="1"/>
        <v>43404</v>
      </c>
      <c r="J54" s="21">
        <f t="shared" si="2"/>
        <v>43404</v>
      </c>
      <c r="K54" s="19">
        <f t="shared" si="3"/>
        <v>43374</v>
      </c>
      <c r="L54" s="19">
        <f t="shared" si="4"/>
        <v>43404</v>
      </c>
      <c r="M54" s="18">
        <f t="shared" si="5"/>
        <v>43374</v>
      </c>
      <c r="N54" s="18">
        <f t="shared" si="6"/>
        <v>43404</v>
      </c>
      <c r="O54" s="7" t="str">
        <f t="shared" si="7"/>
        <v xml:space="preserve">Ноль </v>
      </c>
      <c r="P54" s="7" t="str">
        <f t="shared" si="8"/>
        <v>Долларов</v>
      </c>
      <c r="Q54" s="25">
        <f t="shared" si="9"/>
        <v>43417</v>
      </c>
      <c r="R54" s="26">
        <f t="shared" si="9"/>
        <v>43417</v>
      </c>
      <c r="S54" s="26">
        <f t="shared" si="10"/>
        <v>43423</v>
      </c>
      <c r="T54" s="7" t="e">
        <f>VLOOKUP($B54,emp_info!$C$3:$U$100,2,FALSE)</f>
        <v>#N/A</v>
      </c>
      <c r="U54" s="7" t="e">
        <f>VLOOKUP($B54,emp_info!$C$3:$U$100,3,FALSE)</f>
        <v>#N/A</v>
      </c>
      <c r="V54" s="25" t="e">
        <f>VLOOKUP($B54,emp_info!$C$3:$U$100,4,FALSE)</f>
        <v>#N/A</v>
      </c>
      <c r="W54" s="7" t="e">
        <f>VLOOKUP($B54,emp_info!$C$3:$U$100,5,FALSE)</f>
        <v>#N/A</v>
      </c>
      <c r="X54" s="25" t="e">
        <f>VLOOKUP($B54,emp_info!$C$3:$U$100,6,FALSE)</f>
        <v>#N/A</v>
      </c>
      <c r="Y54" s="7" t="e">
        <f>VLOOKUP($B54,emp_info!$C$3:$U$100,7,FALSE)</f>
        <v>#N/A</v>
      </c>
      <c r="Z54" s="7" t="e">
        <f>VLOOKUP($B54,emp_info!$C$3:$U$100,8,FALSE)</f>
        <v>#N/A</v>
      </c>
      <c r="AA54" s="7" t="e">
        <f>VLOOKUP($B54,emp_info!$C$3:$U$100,11,FALSE)</f>
        <v>#N/A</v>
      </c>
      <c r="AB54" s="7" t="e">
        <f>VLOOKUP($B54,emp_info!$C$3:$U$100,12,FALSE)</f>
        <v>#N/A</v>
      </c>
      <c r="AC54" s="7" t="e">
        <f>VLOOKUP($B54,emp_info!$C$3:$U$100,13,FALSE)</f>
        <v>#N/A</v>
      </c>
      <c r="AD54" s="7" t="e">
        <f>VLOOKUP($B54,emp_info!$C$3:$U$100,14,FALSE)</f>
        <v>#N/A</v>
      </c>
      <c r="AE54" s="7" t="e">
        <f>VLOOKUP($B54,emp_info!$C$3:$U$100,15,FALSE)</f>
        <v>#N/A</v>
      </c>
      <c r="AF54" s="7" t="e">
        <f>VLOOKUP($B54,emp_info!$C$3:$U$100,16,FALSE)</f>
        <v>#N/A</v>
      </c>
      <c r="AG54" s="7" t="e">
        <f>VLOOKUP($B54,emp_info!$C$3:$U$100,17,FALSE)</f>
        <v>#N/A</v>
      </c>
      <c r="AH54" s="7" t="e">
        <f>VLOOKUP($B54,emp_info!$C$3:$U$100,18,FALSE)</f>
        <v>#N/A</v>
      </c>
      <c r="AI54" s="7" t="e">
        <f>VLOOKUP($G54,contragent!$B$3:$I$10,2,FALSE)</f>
        <v>#N/A</v>
      </c>
      <c r="AJ54" s="7" t="e">
        <f>VLOOKUP($G54,contragent!$B$3:$I$10,3,FALSE)</f>
        <v>#N/A</v>
      </c>
      <c r="AK54" s="7" t="e">
        <f>VLOOKUP($G54,contragent!$B$3:$I$10,4,FALSE)</f>
        <v>#N/A</v>
      </c>
      <c r="AL54" s="7" t="e">
        <f>VLOOKUP($G54,contragent!$B$3:$I$10,5,FALSE)</f>
        <v>#N/A</v>
      </c>
      <c r="AM54" s="7" t="e">
        <f>VLOOKUP($G54,contragent!$B$3:$I$10,6,FALSE)</f>
        <v>#N/A</v>
      </c>
      <c r="AN54" s="7" t="e">
        <f>VLOOKUP($G54,contragent!$B$3:$I$10,7,FALSE)</f>
        <v>#N/A</v>
      </c>
      <c r="AO54" s="7" t="e">
        <f>VLOOKUP($G54,contragent!$B$3:$I$10,8,FALSE)</f>
        <v>#N/A</v>
      </c>
    </row>
    <row r="55" spans="2:41" x14ac:dyDescent="0.25">
      <c r="B55" s="9"/>
      <c r="C55" s="11">
        <f t="shared" si="0"/>
        <v>0</v>
      </c>
      <c r="D55" s="9">
        <f>IFERROR(VLOOKUP($B55,emp_info!$C$3:$U$100,19,FALSE),0)</f>
        <v>0</v>
      </c>
      <c r="E55" s="15">
        <v>0</v>
      </c>
      <c r="F55" s="9" t="e">
        <f>DATEDIF(VLOOKUP(B55,emp_info!$C$3:$U$100,6,FALSE),DATE($A$10,$A$8,DAY(VLOOKUP(B55,emp_info!$C$3:$U$100,6,FALSE))),"m")+_xlfn.IFNA(VLOOKUP(B55,emp_info!$C$3:$V$100,20,FALSE),0)</f>
        <v>#N/A</v>
      </c>
      <c r="G55" s="10"/>
      <c r="H55" s="11" t="str">
        <f t="shared" si="11"/>
        <v/>
      </c>
      <c r="I55" s="17">
        <f t="shared" si="1"/>
        <v>43404</v>
      </c>
      <c r="J55" s="21">
        <f t="shared" si="2"/>
        <v>43404</v>
      </c>
      <c r="K55" s="19">
        <f t="shared" si="3"/>
        <v>43374</v>
      </c>
      <c r="L55" s="19">
        <f t="shared" si="4"/>
        <v>43404</v>
      </c>
      <c r="M55" s="18">
        <f t="shared" si="5"/>
        <v>43374</v>
      </c>
      <c r="N55" s="18">
        <f t="shared" si="6"/>
        <v>43404</v>
      </c>
      <c r="O55" s="7" t="str">
        <f t="shared" si="7"/>
        <v xml:space="preserve">Ноль </v>
      </c>
      <c r="P55" s="7" t="str">
        <f t="shared" si="8"/>
        <v>Долларов</v>
      </c>
      <c r="Q55" s="25">
        <f t="shared" si="9"/>
        <v>43417</v>
      </c>
      <c r="R55" s="26">
        <f t="shared" si="9"/>
        <v>43417</v>
      </c>
      <c r="S55" s="26">
        <f t="shared" si="10"/>
        <v>43423</v>
      </c>
      <c r="T55" s="7" t="e">
        <f>VLOOKUP($B55,emp_info!$C$3:$U$100,2,FALSE)</f>
        <v>#N/A</v>
      </c>
      <c r="U55" s="7" t="e">
        <f>VLOOKUP($B55,emp_info!$C$3:$U$100,3,FALSE)</f>
        <v>#N/A</v>
      </c>
      <c r="V55" s="25" t="e">
        <f>VLOOKUP($B55,emp_info!$C$3:$U$100,4,FALSE)</f>
        <v>#N/A</v>
      </c>
      <c r="W55" s="7" t="e">
        <f>VLOOKUP($B55,emp_info!$C$3:$U$100,5,FALSE)</f>
        <v>#N/A</v>
      </c>
      <c r="X55" s="25" t="e">
        <f>VLOOKUP($B55,emp_info!$C$3:$U$100,6,FALSE)</f>
        <v>#N/A</v>
      </c>
      <c r="Y55" s="7" t="e">
        <f>VLOOKUP($B55,emp_info!$C$3:$U$100,7,FALSE)</f>
        <v>#N/A</v>
      </c>
      <c r="Z55" s="7" t="e">
        <f>VLOOKUP($B55,emp_info!$C$3:$U$100,8,FALSE)</f>
        <v>#N/A</v>
      </c>
      <c r="AA55" s="7" t="e">
        <f>VLOOKUP($B55,emp_info!$C$3:$U$100,11,FALSE)</f>
        <v>#N/A</v>
      </c>
      <c r="AB55" s="7" t="e">
        <f>VLOOKUP($B55,emp_info!$C$3:$U$100,12,FALSE)</f>
        <v>#N/A</v>
      </c>
      <c r="AC55" s="7" t="e">
        <f>VLOOKUP($B55,emp_info!$C$3:$U$100,13,FALSE)</f>
        <v>#N/A</v>
      </c>
      <c r="AD55" s="7" t="e">
        <f>VLOOKUP($B55,emp_info!$C$3:$U$100,14,FALSE)</f>
        <v>#N/A</v>
      </c>
      <c r="AE55" s="7" t="e">
        <f>VLOOKUP($B55,emp_info!$C$3:$U$100,15,FALSE)</f>
        <v>#N/A</v>
      </c>
      <c r="AF55" s="7" t="e">
        <f>VLOOKUP($B55,emp_info!$C$3:$U$100,16,FALSE)</f>
        <v>#N/A</v>
      </c>
      <c r="AG55" s="7" t="e">
        <f>VLOOKUP($B55,emp_info!$C$3:$U$100,17,FALSE)</f>
        <v>#N/A</v>
      </c>
      <c r="AH55" s="7" t="e">
        <f>VLOOKUP($B55,emp_info!$C$3:$U$100,18,FALSE)</f>
        <v>#N/A</v>
      </c>
      <c r="AI55" s="7" t="e">
        <f>VLOOKUP($G55,contragent!$B$3:$I$10,2,FALSE)</f>
        <v>#N/A</v>
      </c>
      <c r="AJ55" s="7" t="e">
        <f>VLOOKUP($G55,contragent!$B$3:$I$10,3,FALSE)</f>
        <v>#N/A</v>
      </c>
      <c r="AK55" s="7" t="e">
        <f>VLOOKUP($G55,contragent!$B$3:$I$10,4,FALSE)</f>
        <v>#N/A</v>
      </c>
      <c r="AL55" s="7" t="e">
        <f>VLOOKUP($G55,contragent!$B$3:$I$10,5,FALSE)</f>
        <v>#N/A</v>
      </c>
      <c r="AM55" s="7" t="e">
        <f>VLOOKUP($G55,contragent!$B$3:$I$10,6,FALSE)</f>
        <v>#N/A</v>
      </c>
      <c r="AN55" s="7" t="e">
        <f>VLOOKUP($G55,contragent!$B$3:$I$10,7,FALSE)</f>
        <v>#N/A</v>
      </c>
      <c r="AO55" s="7" t="e">
        <f>VLOOKUP($G55,contragent!$B$3:$I$10,8,FALSE)</f>
        <v>#N/A</v>
      </c>
    </row>
    <row r="56" spans="2:41" x14ac:dyDescent="0.25">
      <c r="B56" s="9"/>
      <c r="C56" s="11">
        <f t="shared" si="0"/>
        <v>0</v>
      </c>
      <c r="D56" s="9">
        <f>IFERROR(VLOOKUP($B56,emp_info!$C$3:$U$100,19,FALSE),0)</f>
        <v>0</v>
      </c>
      <c r="E56" s="15">
        <v>0</v>
      </c>
      <c r="F56" s="9" t="e">
        <f>DATEDIF(VLOOKUP(B56,emp_info!$C$3:$U$100,6,FALSE),DATE($A$10,$A$8,DAY(VLOOKUP(B56,emp_info!$C$3:$U$100,6,FALSE))),"m")+_xlfn.IFNA(VLOOKUP(B56,emp_info!$C$3:$V$100,20,FALSE),0)</f>
        <v>#N/A</v>
      </c>
      <c r="G56" s="10"/>
      <c r="H56" s="11" t="str">
        <f t="shared" si="11"/>
        <v/>
      </c>
      <c r="I56" s="17">
        <f t="shared" si="1"/>
        <v>43404</v>
      </c>
      <c r="J56" s="21">
        <f t="shared" si="2"/>
        <v>43404</v>
      </c>
      <c r="K56" s="19">
        <f t="shared" si="3"/>
        <v>43374</v>
      </c>
      <c r="L56" s="19">
        <f t="shared" si="4"/>
        <v>43404</v>
      </c>
      <c r="M56" s="18">
        <f t="shared" si="5"/>
        <v>43374</v>
      </c>
      <c r="N56" s="18">
        <f t="shared" si="6"/>
        <v>43404</v>
      </c>
      <c r="O56" s="7" t="str">
        <f t="shared" si="7"/>
        <v xml:space="preserve">Ноль </v>
      </c>
      <c r="P56" s="7" t="str">
        <f t="shared" si="8"/>
        <v>Долларов</v>
      </c>
      <c r="Q56" s="25">
        <f t="shared" si="9"/>
        <v>43417</v>
      </c>
      <c r="R56" s="26">
        <f t="shared" si="9"/>
        <v>43417</v>
      </c>
      <c r="S56" s="26">
        <f t="shared" si="10"/>
        <v>43423</v>
      </c>
      <c r="T56" s="7" t="e">
        <f>VLOOKUP($B56,emp_info!$C$3:$U$100,2,FALSE)</f>
        <v>#N/A</v>
      </c>
      <c r="U56" s="7" t="e">
        <f>VLOOKUP($B56,emp_info!$C$3:$U$100,3,FALSE)</f>
        <v>#N/A</v>
      </c>
      <c r="V56" s="25" t="e">
        <f>VLOOKUP($B56,emp_info!$C$3:$U$100,4,FALSE)</f>
        <v>#N/A</v>
      </c>
      <c r="W56" s="7" t="e">
        <f>VLOOKUP($B56,emp_info!$C$3:$U$100,5,FALSE)</f>
        <v>#N/A</v>
      </c>
      <c r="X56" s="25" t="e">
        <f>VLOOKUP($B56,emp_info!$C$3:$U$100,6,FALSE)</f>
        <v>#N/A</v>
      </c>
      <c r="Y56" s="7" t="e">
        <f>VLOOKUP($B56,emp_info!$C$3:$U$100,7,FALSE)</f>
        <v>#N/A</v>
      </c>
      <c r="Z56" s="7" t="e">
        <f>VLOOKUP($B56,emp_info!$C$3:$U$100,8,FALSE)</f>
        <v>#N/A</v>
      </c>
      <c r="AA56" s="7" t="e">
        <f>VLOOKUP($B56,emp_info!$C$3:$U$100,11,FALSE)</f>
        <v>#N/A</v>
      </c>
      <c r="AB56" s="7" t="e">
        <f>VLOOKUP($B56,emp_info!$C$3:$U$100,12,FALSE)</f>
        <v>#N/A</v>
      </c>
      <c r="AC56" s="7" t="e">
        <f>VLOOKUP($B56,emp_info!$C$3:$U$100,13,FALSE)</f>
        <v>#N/A</v>
      </c>
      <c r="AD56" s="7" t="e">
        <f>VLOOKUP($B56,emp_info!$C$3:$U$100,14,FALSE)</f>
        <v>#N/A</v>
      </c>
      <c r="AE56" s="7" t="e">
        <f>VLOOKUP($B56,emp_info!$C$3:$U$100,15,FALSE)</f>
        <v>#N/A</v>
      </c>
      <c r="AF56" s="7" t="e">
        <f>VLOOKUP($B56,emp_info!$C$3:$U$100,16,FALSE)</f>
        <v>#N/A</v>
      </c>
      <c r="AG56" s="7" t="e">
        <f>VLOOKUP($B56,emp_info!$C$3:$U$100,17,FALSE)</f>
        <v>#N/A</v>
      </c>
      <c r="AH56" s="7" t="e">
        <f>VLOOKUP($B56,emp_info!$C$3:$U$100,18,FALSE)</f>
        <v>#N/A</v>
      </c>
      <c r="AI56" s="7" t="e">
        <f>VLOOKUP($G56,contragent!$B$3:$I$10,2,FALSE)</f>
        <v>#N/A</v>
      </c>
      <c r="AJ56" s="7" t="e">
        <f>VLOOKUP($G56,contragent!$B$3:$I$10,3,FALSE)</f>
        <v>#N/A</v>
      </c>
      <c r="AK56" s="7" t="e">
        <f>VLOOKUP($G56,contragent!$B$3:$I$10,4,FALSE)</f>
        <v>#N/A</v>
      </c>
      <c r="AL56" s="7" t="e">
        <f>VLOOKUP($G56,contragent!$B$3:$I$10,5,FALSE)</f>
        <v>#N/A</v>
      </c>
      <c r="AM56" s="7" t="e">
        <f>VLOOKUP($G56,contragent!$B$3:$I$10,6,FALSE)</f>
        <v>#N/A</v>
      </c>
      <c r="AN56" s="7" t="e">
        <f>VLOOKUP($G56,contragent!$B$3:$I$10,7,FALSE)</f>
        <v>#N/A</v>
      </c>
      <c r="AO56" s="7" t="e">
        <f>VLOOKUP($G56,contragent!$B$3:$I$10,8,FALSE)</f>
        <v>#N/A</v>
      </c>
    </row>
    <row r="57" spans="2:41" x14ac:dyDescent="0.25">
      <c r="B57" s="9"/>
      <c r="C57" s="11">
        <f t="shared" si="0"/>
        <v>0</v>
      </c>
      <c r="D57" s="9">
        <f>IFERROR(VLOOKUP($B57,emp_info!$C$3:$U$100,19,FALSE),0)</f>
        <v>0</v>
      </c>
      <c r="E57" s="15">
        <v>0</v>
      </c>
      <c r="F57" s="9" t="e">
        <f>DATEDIF(VLOOKUP(B57,emp_info!$C$3:$U$100,6,FALSE),DATE($A$10,$A$8,DAY(VLOOKUP(B57,emp_info!$C$3:$U$100,6,FALSE))),"m")+_xlfn.IFNA(VLOOKUP(B57,emp_info!$C$3:$V$100,20,FALSE),0)</f>
        <v>#N/A</v>
      </c>
      <c r="G57" s="10"/>
      <c r="H57" s="11" t="str">
        <f t="shared" si="11"/>
        <v/>
      </c>
      <c r="I57" s="17">
        <f t="shared" si="1"/>
        <v>43404</v>
      </c>
      <c r="J57" s="21">
        <f t="shared" si="2"/>
        <v>43404</v>
      </c>
      <c r="K57" s="19">
        <f t="shared" si="3"/>
        <v>43374</v>
      </c>
      <c r="L57" s="19">
        <f t="shared" si="4"/>
        <v>43404</v>
      </c>
      <c r="M57" s="18">
        <f t="shared" si="5"/>
        <v>43374</v>
      </c>
      <c r="N57" s="18">
        <f t="shared" si="6"/>
        <v>43404</v>
      </c>
      <c r="O57" s="7" t="str">
        <f t="shared" si="7"/>
        <v xml:space="preserve">Ноль </v>
      </c>
      <c r="P57" s="7" t="str">
        <f t="shared" si="8"/>
        <v>Долларов</v>
      </c>
      <c r="Q57" s="25">
        <f t="shared" si="9"/>
        <v>43417</v>
      </c>
      <c r="R57" s="26">
        <f t="shared" si="9"/>
        <v>43417</v>
      </c>
      <c r="S57" s="26">
        <f t="shared" si="10"/>
        <v>43423</v>
      </c>
      <c r="T57" s="7" t="e">
        <f>VLOOKUP($B57,emp_info!$C$3:$U$100,2,FALSE)</f>
        <v>#N/A</v>
      </c>
      <c r="U57" s="7" t="e">
        <f>VLOOKUP($B57,emp_info!$C$3:$U$100,3,FALSE)</f>
        <v>#N/A</v>
      </c>
      <c r="V57" s="25" t="e">
        <f>VLOOKUP($B57,emp_info!$C$3:$U$100,4,FALSE)</f>
        <v>#N/A</v>
      </c>
      <c r="W57" s="7" t="e">
        <f>VLOOKUP($B57,emp_info!$C$3:$U$100,5,FALSE)</f>
        <v>#N/A</v>
      </c>
      <c r="X57" s="25" t="e">
        <f>VLOOKUP($B57,emp_info!$C$3:$U$100,6,FALSE)</f>
        <v>#N/A</v>
      </c>
      <c r="Y57" s="7" t="e">
        <f>VLOOKUP($B57,emp_info!$C$3:$U$100,7,FALSE)</f>
        <v>#N/A</v>
      </c>
      <c r="Z57" s="7" t="e">
        <f>VLOOKUP($B57,emp_info!$C$3:$U$100,8,FALSE)</f>
        <v>#N/A</v>
      </c>
      <c r="AA57" s="7" t="e">
        <f>VLOOKUP($B57,emp_info!$C$3:$U$100,11,FALSE)</f>
        <v>#N/A</v>
      </c>
      <c r="AB57" s="7" t="e">
        <f>VLOOKUP($B57,emp_info!$C$3:$U$100,12,FALSE)</f>
        <v>#N/A</v>
      </c>
      <c r="AC57" s="7" t="e">
        <f>VLOOKUP($B57,emp_info!$C$3:$U$100,13,FALSE)</f>
        <v>#N/A</v>
      </c>
      <c r="AD57" s="7" t="e">
        <f>VLOOKUP($B57,emp_info!$C$3:$U$100,14,FALSE)</f>
        <v>#N/A</v>
      </c>
      <c r="AE57" s="7" t="e">
        <f>VLOOKUP($B57,emp_info!$C$3:$U$100,15,FALSE)</f>
        <v>#N/A</v>
      </c>
      <c r="AF57" s="7" t="e">
        <f>VLOOKUP($B57,emp_info!$C$3:$U$100,16,FALSE)</f>
        <v>#N/A</v>
      </c>
      <c r="AG57" s="7" t="e">
        <f>VLOOKUP($B57,emp_info!$C$3:$U$100,17,FALSE)</f>
        <v>#N/A</v>
      </c>
      <c r="AH57" s="7" t="e">
        <f>VLOOKUP($B57,emp_info!$C$3:$U$100,18,FALSE)</f>
        <v>#N/A</v>
      </c>
      <c r="AI57" s="7" t="e">
        <f>VLOOKUP($G57,contragent!$B$3:$I$10,2,FALSE)</f>
        <v>#N/A</v>
      </c>
      <c r="AJ57" s="7" t="e">
        <f>VLOOKUP($G57,contragent!$B$3:$I$10,3,FALSE)</f>
        <v>#N/A</v>
      </c>
      <c r="AK57" s="7" t="e">
        <f>VLOOKUP($G57,contragent!$B$3:$I$10,4,FALSE)</f>
        <v>#N/A</v>
      </c>
      <c r="AL57" s="7" t="e">
        <f>VLOOKUP($G57,contragent!$B$3:$I$10,5,FALSE)</f>
        <v>#N/A</v>
      </c>
      <c r="AM57" s="7" t="e">
        <f>VLOOKUP($G57,contragent!$B$3:$I$10,6,FALSE)</f>
        <v>#N/A</v>
      </c>
      <c r="AN57" s="7" t="e">
        <f>VLOOKUP($G57,contragent!$B$3:$I$10,7,FALSE)</f>
        <v>#N/A</v>
      </c>
      <c r="AO57" s="7" t="e">
        <f>VLOOKUP($G57,contragent!$B$3:$I$10,8,FALSE)</f>
        <v>#N/A</v>
      </c>
    </row>
    <row r="58" spans="2:41" x14ac:dyDescent="0.25">
      <c r="B58" s="9"/>
      <c r="C58" s="11">
        <f t="shared" si="0"/>
        <v>0</v>
      </c>
      <c r="D58" s="9">
        <f>IFERROR(VLOOKUP($B58,emp_info!$C$3:$U$100,19,FALSE),0)</f>
        <v>0</v>
      </c>
      <c r="E58" s="15">
        <v>0</v>
      </c>
      <c r="F58" s="9" t="e">
        <f>DATEDIF(VLOOKUP(B58,emp_info!$C$3:$U$100,6,FALSE),DATE($A$10,$A$8,DAY(VLOOKUP(B58,emp_info!$C$3:$U$100,6,FALSE))),"m")+_xlfn.IFNA(VLOOKUP(B58,emp_info!$C$3:$V$100,20,FALSE),0)</f>
        <v>#N/A</v>
      </c>
      <c r="G58" s="10"/>
      <c r="H58" s="11" t="str">
        <f t="shared" si="11"/>
        <v/>
      </c>
      <c r="I58" s="17">
        <f t="shared" si="1"/>
        <v>43404</v>
      </c>
      <c r="J58" s="21">
        <f t="shared" si="2"/>
        <v>43404</v>
      </c>
      <c r="K58" s="19">
        <f t="shared" si="3"/>
        <v>43374</v>
      </c>
      <c r="L58" s="19">
        <f t="shared" si="4"/>
        <v>43404</v>
      </c>
      <c r="M58" s="18">
        <f t="shared" si="5"/>
        <v>43374</v>
      </c>
      <c r="N58" s="18">
        <f t="shared" si="6"/>
        <v>43404</v>
      </c>
      <c r="O58" s="7" t="str">
        <f t="shared" si="7"/>
        <v xml:space="preserve">Ноль </v>
      </c>
      <c r="P58" s="7" t="str">
        <f t="shared" si="8"/>
        <v>Долларов</v>
      </c>
      <c r="Q58" s="25">
        <f t="shared" si="9"/>
        <v>43417</v>
      </c>
      <c r="R58" s="26">
        <f t="shared" si="9"/>
        <v>43417</v>
      </c>
      <c r="S58" s="26">
        <f t="shared" si="10"/>
        <v>43423</v>
      </c>
      <c r="T58" s="7" t="e">
        <f>VLOOKUP($B58,emp_info!$C$3:$U$100,2,FALSE)</f>
        <v>#N/A</v>
      </c>
      <c r="U58" s="7" t="e">
        <f>VLOOKUP($B58,emp_info!$C$3:$U$100,3,FALSE)</f>
        <v>#N/A</v>
      </c>
      <c r="V58" s="25" t="e">
        <f>VLOOKUP($B58,emp_info!$C$3:$U$100,4,FALSE)</f>
        <v>#N/A</v>
      </c>
      <c r="W58" s="7" t="e">
        <f>VLOOKUP($B58,emp_info!$C$3:$U$100,5,FALSE)</f>
        <v>#N/A</v>
      </c>
      <c r="X58" s="25" t="e">
        <f>VLOOKUP($B58,emp_info!$C$3:$U$100,6,FALSE)</f>
        <v>#N/A</v>
      </c>
      <c r="Y58" s="7" t="e">
        <f>VLOOKUP($B58,emp_info!$C$3:$U$100,7,FALSE)</f>
        <v>#N/A</v>
      </c>
      <c r="Z58" s="7" t="e">
        <f>VLOOKUP($B58,emp_info!$C$3:$U$100,8,FALSE)</f>
        <v>#N/A</v>
      </c>
      <c r="AA58" s="7" t="e">
        <f>VLOOKUP($B58,emp_info!$C$3:$U$100,11,FALSE)</f>
        <v>#N/A</v>
      </c>
      <c r="AB58" s="7" t="e">
        <f>VLOOKUP($B58,emp_info!$C$3:$U$100,12,FALSE)</f>
        <v>#N/A</v>
      </c>
      <c r="AC58" s="7" t="e">
        <f>VLOOKUP($B58,emp_info!$C$3:$U$100,13,FALSE)</f>
        <v>#N/A</v>
      </c>
      <c r="AD58" s="7" t="e">
        <f>VLOOKUP($B58,emp_info!$C$3:$U$100,14,FALSE)</f>
        <v>#N/A</v>
      </c>
      <c r="AE58" s="7" t="e">
        <f>VLOOKUP($B58,emp_info!$C$3:$U$100,15,FALSE)</f>
        <v>#N/A</v>
      </c>
      <c r="AF58" s="7" t="e">
        <f>VLOOKUP($B58,emp_info!$C$3:$U$100,16,FALSE)</f>
        <v>#N/A</v>
      </c>
      <c r="AG58" s="7" t="e">
        <f>VLOOKUP($B58,emp_info!$C$3:$U$100,17,FALSE)</f>
        <v>#N/A</v>
      </c>
      <c r="AH58" s="7" t="e">
        <f>VLOOKUP($B58,emp_info!$C$3:$U$100,18,FALSE)</f>
        <v>#N/A</v>
      </c>
      <c r="AI58" s="7" t="e">
        <f>VLOOKUP($G58,contragent!$B$3:$I$10,2,FALSE)</f>
        <v>#N/A</v>
      </c>
      <c r="AJ58" s="7" t="e">
        <f>VLOOKUP($G58,contragent!$B$3:$I$10,3,FALSE)</f>
        <v>#N/A</v>
      </c>
      <c r="AK58" s="7" t="e">
        <f>VLOOKUP($G58,contragent!$B$3:$I$10,4,FALSE)</f>
        <v>#N/A</v>
      </c>
      <c r="AL58" s="7" t="e">
        <f>VLOOKUP($G58,contragent!$B$3:$I$10,5,FALSE)</f>
        <v>#N/A</v>
      </c>
      <c r="AM58" s="7" t="e">
        <f>VLOOKUP($G58,contragent!$B$3:$I$10,6,FALSE)</f>
        <v>#N/A</v>
      </c>
      <c r="AN58" s="7" t="e">
        <f>VLOOKUP($G58,contragent!$B$3:$I$10,7,FALSE)</f>
        <v>#N/A</v>
      </c>
      <c r="AO58" s="7" t="e">
        <f>VLOOKUP($G58,contragent!$B$3:$I$10,8,FALSE)</f>
        <v>#N/A</v>
      </c>
    </row>
    <row r="59" spans="2:41" x14ac:dyDescent="0.25">
      <c r="B59" s="9"/>
      <c r="C59" s="11">
        <f t="shared" si="0"/>
        <v>0</v>
      </c>
      <c r="D59" s="9">
        <f>IFERROR(VLOOKUP($B59,emp_info!$C$3:$U$100,19,FALSE),0)</f>
        <v>0</v>
      </c>
      <c r="E59" s="15">
        <v>0</v>
      </c>
      <c r="F59" s="9" t="e">
        <f>DATEDIF(VLOOKUP(B59,emp_info!$C$3:$U$100,6,FALSE),DATE($A$10,$A$8,DAY(VLOOKUP(B59,emp_info!$C$3:$U$100,6,FALSE))),"m")+_xlfn.IFNA(VLOOKUP(B59,emp_info!$C$3:$V$100,20,FALSE),0)</f>
        <v>#N/A</v>
      </c>
      <c r="G59" s="10"/>
      <c r="H59" s="11" t="str">
        <f t="shared" si="11"/>
        <v/>
      </c>
      <c r="I59" s="17">
        <f t="shared" si="1"/>
        <v>43404</v>
      </c>
      <c r="J59" s="21">
        <f t="shared" si="2"/>
        <v>43404</v>
      </c>
      <c r="K59" s="19">
        <f t="shared" si="3"/>
        <v>43374</v>
      </c>
      <c r="L59" s="19">
        <f t="shared" si="4"/>
        <v>43404</v>
      </c>
      <c r="M59" s="18">
        <f t="shared" si="5"/>
        <v>43374</v>
      </c>
      <c r="N59" s="18">
        <f t="shared" si="6"/>
        <v>43404</v>
      </c>
      <c r="O59" s="7" t="str">
        <f t="shared" si="7"/>
        <v xml:space="preserve">Ноль </v>
      </c>
      <c r="P59" s="7" t="str">
        <f t="shared" si="8"/>
        <v>Долларов</v>
      </c>
      <c r="Q59" s="25">
        <f t="shared" si="9"/>
        <v>43417</v>
      </c>
      <c r="R59" s="26">
        <f t="shared" si="9"/>
        <v>43417</v>
      </c>
      <c r="S59" s="26">
        <f t="shared" si="10"/>
        <v>43423</v>
      </c>
      <c r="T59" s="7" t="e">
        <f>VLOOKUP($B59,emp_info!$C$3:$U$100,2,FALSE)</f>
        <v>#N/A</v>
      </c>
      <c r="U59" s="7" t="e">
        <f>VLOOKUP($B59,emp_info!$C$3:$U$100,3,FALSE)</f>
        <v>#N/A</v>
      </c>
      <c r="V59" s="25" t="e">
        <f>VLOOKUP($B59,emp_info!$C$3:$U$100,4,FALSE)</f>
        <v>#N/A</v>
      </c>
      <c r="W59" s="7" t="e">
        <f>VLOOKUP($B59,emp_info!$C$3:$U$100,5,FALSE)</f>
        <v>#N/A</v>
      </c>
      <c r="X59" s="25" t="e">
        <f>VLOOKUP($B59,emp_info!$C$3:$U$100,6,FALSE)</f>
        <v>#N/A</v>
      </c>
      <c r="Y59" s="7" t="e">
        <f>VLOOKUP($B59,emp_info!$C$3:$U$100,7,FALSE)</f>
        <v>#N/A</v>
      </c>
      <c r="Z59" s="7" t="e">
        <f>VLOOKUP($B59,emp_info!$C$3:$U$100,8,FALSE)</f>
        <v>#N/A</v>
      </c>
      <c r="AA59" s="7" t="e">
        <f>VLOOKUP($B59,emp_info!$C$3:$U$100,11,FALSE)</f>
        <v>#N/A</v>
      </c>
      <c r="AB59" s="7" t="e">
        <f>VLOOKUP($B59,emp_info!$C$3:$U$100,12,FALSE)</f>
        <v>#N/A</v>
      </c>
      <c r="AC59" s="7" t="e">
        <f>VLOOKUP($B59,emp_info!$C$3:$U$100,13,FALSE)</f>
        <v>#N/A</v>
      </c>
      <c r="AD59" s="7" t="e">
        <f>VLOOKUP($B59,emp_info!$C$3:$U$100,14,FALSE)</f>
        <v>#N/A</v>
      </c>
      <c r="AE59" s="7" t="e">
        <f>VLOOKUP($B59,emp_info!$C$3:$U$100,15,FALSE)</f>
        <v>#N/A</v>
      </c>
      <c r="AF59" s="7" t="e">
        <f>VLOOKUP($B59,emp_info!$C$3:$U$100,16,FALSE)</f>
        <v>#N/A</v>
      </c>
      <c r="AG59" s="7" t="e">
        <f>VLOOKUP($B59,emp_info!$C$3:$U$100,17,FALSE)</f>
        <v>#N/A</v>
      </c>
      <c r="AH59" s="7" t="e">
        <f>VLOOKUP($B59,emp_info!$C$3:$U$100,18,FALSE)</f>
        <v>#N/A</v>
      </c>
      <c r="AI59" s="7" t="e">
        <f>VLOOKUP($G59,contragent!$B$3:$I$10,2,FALSE)</f>
        <v>#N/A</v>
      </c>
      <c r="AJ59" s="7" t="e">
        <f>VLOOKUP($G59,contragent!$B$3:$I$10,3,FALSE)</f>
        <v>#N/A</v>
      </c>
      <c r="AK59" s="7" t="e">
        <f>VLOOKUP($G59,contragent!$B$3:$I$10,4,FALSE)</f>
        <v>#N/A</v>
      </c>
      <c r="AL59" s="7" t="e">
        <f>VLOOKUP($G59,contragent!$B$3:$I$10,5,FALSE)</f>
        <v>#N/A</v>
      </c>
      <c r="AM59" s="7" t="e">
        <f>VLOOKUP($G59,contragent!$B$3:$I$10,6,FALSE)</f>
        <v>#N/A</v>
      </c>
      <c r="AN59" s="7" t="e">
        <f>VLOOKUP($G59,contragent!$B$3:$I$10,7,FALSE)</f>
        <v>#N/A</v>
      </c>
      <c r="AO59" s="7" t="e">
        <f>VLOOKUP($G59,contragent!$B$3:$I$10,8,FALSE)</f>
        <v>#N/A</v>
      </c>
    </row>
    <row r="60" spans="2:41" x14ac:dyDescent="0.25">
      <c r="B60" s="9"/>
      <c r="C60" s="11">
        <f t="shared" si="0"/>
        <v>0</v>
      </c>
      <c r="D60" s="9">
        <f>IFERROR(VLOOKUP($B60,emp_info!$C$3:$U$100,19,FALSE),0)</f>
        <v>0</v>
      </c>
      <c r="E60" s="15">
        <v>0</v>
      </c>
      <c r="F60" s="9" t="e">
        <f>DATEDIF(VLOOKUP(B60,emp_info!$C$3:$U$100,6,FALSE),DATE($A$10,$A$8,DAY(VLOOKUP(B60,emp_info!$C$3:$U$100,6,FALSE))),"m")+_xlfn.IFNA(VLOOKUP(B60,emp_info!$C$3:$V$100,20,FALSE),0)</f>
        <v>#N/A</v>
      </c>
      <c r="G60" s="10"/>
      <c r="H60" s="11" t="str">
        <f t="shared" si="11"/>
        <v/>
      </c>
      <c r="I60" s="17">
        <f t="shared" si="1"/>
        <v>43404</v>
      </c>
      <c r="J60" s="21">
        <f t="shared" si="2"/>
        <v>43404</v>
      </c>
      <c r="K60" s="19">
        <f t="shared" si="3"/>
        <v>43374</v>
      </c>
      <c r="L60" s="19">
        <f t="shared" si="4"/>
        <v>43404</v>
      </c>
      <c r="M60" s="18">
        <f t="shared" si="5"/>
        <v>43374</v>
      </c>
      <c r="N60" s="18">
        <f t="shared" si="6"/>
        <v>43404</v>
      </c>
      <c r="O60" s="7" t="str">
        <f t="shared" si="7"/>
        <v xml:space="preserve">Ноль </v>
      </c>
      <c r="P60" s="7" t="str">
        <f t="shared" si="8"/>
        <v>Долларов</v>
      </c>
      <c r="Q60" s="25">
        <f t="shared" si="9"/>
        <v>43417</v>
      </c>
      <c r="R60" s="26">
        <f t="shared" si="9"/>
        <v>43417</v>
      </c>
      <c r="S60" s="26">
        <f t="shared" si="10"/>
        <v>43423</v>
      </c>
      <c r="T60" s="7" t="e">
        <f>VLOOKUP($B60,emp_info!$C$3:$U$100,2,FALSE)</f>
        <v>#N/A</v>
      </c>
      <c r="U60" s="7" t="e">
        <f>VLOOKUP($B60,emp_info!$C$3:$U$100,3,FALSE)</f>
        <v>#N/A</v>
      </c>
      <c r="V60" s="25" t="e">
        <f>VLOOKUP($B60,emp_info!$C$3:$U$100,4,FALSE)</f>
        <v>#N/A</v>
      </c>
      <c r="W60" s="7" t="e">
        <f>VLOOKUP($B60,emp_info!$C$3:$U$100,5,FALSE)</f>
        <v>#N/A</v>
      </c>
      <c r="X60" s="25" t="e">
        <f>VLOOKUP($B60,emp_info!$C$3:$U$100,6,FALSE)</f>
        <v>#N/A</v>
      </c>
      <c r="Y60" s="7" t="e">
        <f>VLOOKUP($B60,emp_info!$C$3:$U$100,7,FALSE)</f>
        <v>#N/A</v>
      </c>
      <c r="Z60" s="7" t="e">
        <f>VLOOKUP($B60,emp_info!$C$3:$U$100,8,FALSE)</f>
        <v>#N/A</v>
      </c>
      <c r="AA60" s="7" t="e">
        <f>VLOOKUP($B60,emp_info!$C$3:$U$100,11,FALSE)</f>
        <v>#N/A</v>
      </c>
      <c r="AB60" s="7" t="e">
        <f>VLOOKUP($B60,emp_info!$C$3:$U$100,12,FALSE)</f>
        <v>#N/A</v>
      </c>
      <c r="AC60" s="7" t="e">
        <f>VLOOKUP($B60,emp_info!$C$3:$U$100,13,FALSE)</f>
        <v>#N/A</v>
      </c>
      <c r="AD60" s="7" t="e">
        <f>VLOOKUP($B60,emp_info!$C$3:$U$100,14,FALSE)</f>
        <v>#N/A</v>
      </c>
      <c r="AE60" s="7" t="e">
        <f>VLOOKUP($B60,emp_info!$C$3:$U$100,15,FALSE)</f>
        <v>#N/A</v>
      </c>
      <c r="AF60" s="7" t="e">
        <f>VLOOKUP($B60,emp_info!$C$3:$U$100,16,FALSE)</f>
        <v>#N/A</v>
      </c>
      <c r="AG60" s="7" t="e">
        <f>VLOOKUP($B60,emp_info!$C$3:$U$100,17,FALSE)</f>
        <v>#N/A</v>
      </c>
      <c r="AH60" s="7" t="e">
        <f>VLOOKUP($B60,emp_info!$C$3:$U$100,18,FALSE)</f>
        <v>#N/A</v>
      </c>
      <c r="AI60" s="7" t="e">
        <f>VLOOKUP($G60,contragent!$B$3:$I$10,2,FALSE)</f>
        <v>#N/A</v>
      </c>
      <c r="AJ60" s="7" t="e">
        <f>VLOOKUP($G60,contragent!$B$3:$I$10,3,FALSE)</f>
        <v>#N/A</v>
      </c>
      <c r="AK60" s="7" t="e">
        <f>VLOOKUP($G60,contragent!$B$3:$I$10,4,FALSE)</f>
        <v>#N/A</v>
      </c>
      <c r="AL60" s="7" t="e">
        <f>VLOOKUP($G60,contragent!$B$3:$I$10,5,FALSE)</f>
        <v>#N/A</v>
      </c>
      <c r="AM60" s="7" t="e">
        <f>VLOOKUP($G60,contragent!$B$3:$I$10,6,FALSE)</f>
        <v>#N/A</v>
      </c>
      <c r="AN60" s="7" t="e">
        <f>VLOOKUP($G60,contragent!$B$3:$I$10,7,FALSE)</f>
        <v>#N/A</v>
      </c>
      <c r="AO60" s="7" t="e">
        <f>VLOOKUP($G60,contragent!$B$3:$I$10,8,FALSE)</f>
        <v>#N/A</v>
      </c>
    </row>
    <row r="61" spans="2:41" x14ac:dyDescent="0.25">
      <c r="B61" s="9"/>
      <c r="C61" s="11">
        <f t="shared" si="0"/>
        <v>0</v>
      </c>
      <c r="D61" s="9">
        <f>IFERROR(VLOOKUP($B61,emp_info!$C$3:$U$100,19,FALSE),0)</f>
        <v>0</v>
      </c>
      <c r="E61" s="15">
        <v>0</v>
      </c>
      <c r="F61" s="9" t="e">
        <f>DATEDIF(VLOOKUP(B61,emp_info!$C$3:$U$100,6,FALSE),DATE($A$10,$A$8,DAY(VLOOKUP(B61,emp_info!$C$3:$U$100,6,FALSE))),"m")+_xlfn.IFNA(VLOOKUP(B61,emp_info!$C$3:$V$100,20,FALSE),0)</f>
        <v>#N/A</v>
      </c>
      <c r="G61" s="10"/>
      <c r="H61" s="11" t="str">
        <f t="shared" si="11"/>
        <v/>
      </c>
      <c r="I61" s="17">
        <f t="shared" si="1"/>
        <v>43404</v>
      </c>
      <c r="J61" s="21">
        <f t="shared" si="2"/>
        <v>43404</v>
      </c>
      <c r="K61" s="19">
        <f t="shared" si="3"/>
        <v>43374</v>
      </c>
      <c r="L61" s="19">
        <f t="shared" si="4"/>
        <v>43404</v>
      </c>
      <c r="M61" s="18">
        <f t="shared" si="5"/>
        <v>43374</v>
      </c>
      <c r="N61" s="18">
        <f t="shared" si="6"/>
        <v>43404</v>
      </c>
      <c r="O61" s="7" t="str">
        <f t="shared" si="7"/>
        <v xml:space="preserve">Ноль </v>
      </c>
      <c r="P61" s="7" t="str">
        <f t="shared" si="8"/>
        <v>Долларов</v>
      </c>
      <c r="Q61" s="25">
        <f t="shared" si="9"/>
        <v>43417</v>
      </c>
      <c r="R61" s="26">
        <f t="shared" si="9"/>
        <v>43417</v>
      </c>
      <c r="S61" s="26">
        <f t="shared" si="10"/>
        <v>43423</v>
      </c>
      <c r="T61" s="7" t="e">
        <f>VLOOKUP($B61,emp_info!$C$3:$U$100,2,FALSE)</f>
        <v>#N/A</v>
      </c>
      <c r="U61" s="7" t="e">
        <f>VLOOKUP($B61,emp_info!$C$3:$U$100,3,FALSE)</f>
        <v>#N/A</v>
      </c>
      <c r="V61" s="25" t="e">
        <f>VLOOKUP($B61,emp_info!$C$3:$U$100,4,FALSE)</f>
        <v>#N/A</v>
      </c>
      <c r="W61" s="7" t="e">
        <f>VLOOKUP($B61,emp_info!$C$3:$U$100,5,FALSE)</f>
        <v>#N/A</v>
      </c>
      <c r="X61" s="25" t="e">
        <f>VLOOKUP($B61,emp_info!$C$3:$U$100,6,FALSE)</f>
        <v>#N/A</v>
      </c>
      <c r="Y61" s="7" t="e">
        <f>VLOOKUP($B61,emp_info!$C$3:$U$100,7,FALSE)</f>
        <v>#N/A</v>
      </c>
      <c r="Z61" s="7" t="e">
        <f>VLOOKUP($B61,emp_info!$C$3:$U$100,8,FALSE)</f>
        <v>#N/A</v>
      </c>
      <c r="AA61" s="7" t="e">
        <f>VLOOKUP($B61,emp_info!$C$3:$U$100,11,FALSE)</f>
        <v>#N/A</v>
      </c>
      <c r="AB61" s="7" t="e">
        <f>VLOOKUP($B61,emp_info!$C$3:$U$100,12,FALSE)</f>
        <v>#N/A</v>
      </c>
      <c r="AC61" s="7" t="e">
        <f>VLOOKUP($B61,emp_info!$C$3:$U$100,13,FALSE)</f>
        <v>#N/A</v>
      </c>
      <c r="AD61" s="7" t="e">
        <f>VLOOKUP($B61,emp_info!$C$3:$U$100,14,FALSE)</f>
        <v>#N/A</v>
      </c>
      <c r="AE61" s="7" t="e">
        <f>VLOOKUP($B61,emp_info!$C$3:$U$100,15,FALSE)</f>
        <v>#N/A</v>
      </c>
      <c r="AF61" s="7" t="e">
        <f>VLOOKUP($B61,emp_info!$C$3:$U$100,16,FALSE)</f>
        <v>#N/A</v>
      </c>
      <c r="AG61" s="7" t="e">
        <f>VLOOKUP($B61,emp_info!$C$3:$U$100,17,FALSE)</f>
        <v>#N/A</v>
      </c>
      <c r="AH61" s="7" t="e">
        <f>VLOOKUP($B61,emp_info!$C$3:$U$100,18,FALSE)</f>
        <v>#N/A</v>
      </c>
      <c r="AI61" s="7" t="e">
        <f>VLOOKUP($G61,contragent!$B$3:$I$10,2,FALSE)</f>
        <v>#N/A</v>
      </c>
      <c r="AJ61" s="7" t="e">
        <f>VLOOKUP($G61,contragent!$B$3:$I$10,3,FALSE)</f>
        <v>#N/A</v>
      </c>
      <c r="AK61" s="7" t="e">
        <f>VLOOKUP($G61,contragent!$B$3:$I$10,4,FALSE)</f>
        <v>#N/A</v>
      </c>
      <c r="AL61" s="7" t="e">
        <f>VLOOKUP($G61,contragent!$B$3:$I$10,5,FALSE)</f>
        <v>#N/A</v>
      </c>
      <c r="AM61" s="7" t="e">
        <f>VLOOKUP($G61,contragent!$B$3:$I$10,6,FALSE)</f>
        <v>#N/A</v>
      </c>
      <c r="AN61" s="7" t="e">
        <f>VLOOKUP($G61,contragent!$B$3:$I$10,7,FALSE)</f>
        <v>#N/A</v>
      </c>
      <c r="AO61" s="7" t="e">
        <f>VLOOKUP($G61,contragent!$B$3:$I$10,8,FALSE)</f>
        <v>#N/A</v>
      </c>
    </row>
    <row r="62" spans="2:41" x14ac:dyDescent="0.25">
      <c r="B62" s="9"/>
      <c r="C62" s="11">
        <f t="shared" si="0"/>
        <v>0</v>
      </c>
      <c r="D62" s="9">
        <f>IFERROR(VLOOKUP($B62,emp_info!$C$3:$U$100,19,FALSE),0)</f>
        <v>0</v>
      </c>
      <c r="E62" s="15">
        <v>0</v>
      </c>
      <c r="F62" s="9" t="e">
        <f>DATEDIF(VLOOKUP(B62,emp_info!$C$3:$U$100,6,FALSE),DATE($A$10,$A$8,DAY(VLOOKUP(B62,emp_info!$C$3:$U$100,6,FALSE))),"m")+_xlfn.IFNA(VLOOKUP(B62,emp_info!$C$3:$V$100,20,FALSE),0)</f>
        <v>#N/A</v>
      </c>
      <c r="G62" s="10"/>
      <c r="H62" s="11" t="str">
        <f t="shared" si="11"/>
        <v/>
      </c>
      <c r="I62" s="17">
        <f t="shared" si="1"/>
        <v>43404</v>
      </c>
      <c r="J62" s="21">
        <f t="shared" si="2"/>
        <v>43404</v>
      </c>
      <c r="K62" s="19">
        <f t="shared" si="3"/>
        <v>43374</v>
      </c>
      <c r="L62" s="19">
        <f t="shared" si="4"/>
        <v>43404</v>
      </c>
      <c r="M62" s="18">
        <f t="shared" si="5"/>
        <v>43374</v>
      </c>
      <c r="N62" s="18">
        <f t="shared" si="6"/>
        <v>43404</v>
      </c>
      <c r="O62" s="7" t="str">
        <f t="shared" si="7"/>
        <v xml:space="preserve">Ноль </v>
      </c>
      <c r="P62" s="7" t="str">
        <f t="shared" si="8"/>
        <v>Долларов</v>
      </c>
      <c r="Q62" s="25">
        <f t="shared" si="9"/>
        <v>43417</v>
      </c>
      <c r="R62" s="26">
        <f t="shared" si="9"/>
        <v>43417</v>
      </c>
      <c r="S62" s="26">
        <f t="shared" si="10"/>
        <v>43423</v>
      </c>
      <c r="T62" s="7" t="e">
        <f>VLOOKUP($B62,emp_info!$C$3:$U$100,2,FALSE)</f>
        <v>#N/A</v>
      </c>
      <c r="U62" s="7" t="e">
        <f>VLOOKUP($B62,emp_info!$C$3:$U$100,3,FALSE)</f>
        <v>#N/A</v>
      </c>
      <c r="V62" s="25" t="e">
        <f>VLOOKUP($B62,emp_info!$C$3:$U$100,4,FALSE)</f>
        <v>#N/A</v>
      </c>
      <c r="W62" s="7" t="e">
        <f>VLOOKUP($B62,emp_info!$C$3:$U$100,5,FALSE)</f>
        <v>#N/A</v>
      </c>
      <c r="X62" s="25" t="e">
        <f>VLOOKUP($B62,emp_info!$C$3:$U$100,6,FALSE)</f>
        <v>#N/A</v>
      </c>
      <c r="Y62" s="7" t="e">
        <f>VLOOKUP($B62,emp_info!$C$3:$U$100,7,FALSE)</f>
        <v>#N/A</v>
      </c>
      <c r="Z62" s="7" t="e">
        <f>VLOOKUP($B62,emp_info!$C$3:$U$100,8,FALSE)</f>
        <v>#N/A</v>
      </c>
      <c r="AA62" s="7" t="e">
        <f>VLOOKUP($B62,emp_info!$C$3:$U$100,11,FALSE)</f>
        <v>#N/A</v>
      </c>
      <c r="AB62" s="7" t="e">
        <f>VLOOKUP($B62,emp_info!$C$3:$U$100,12,FALSE)</f>
        <v>#N/A</v>
      </c>
      <c r="AC62" s="7" t="e">
        <f>VLOOKUP($B62,emp_info!$C$3:$U$100,13,FALSE)</f>
        <v>#N/A</v>
      </c>
      <c r="AD62" s="7" t="e">
        <f>VLOOKUP($B62,emp_info!$C$3:$U$100,14,FALSE)</f>
        <v>#N/A</v>
      </c>
      <c r="AE62" s="7" t="e">
        <f>VLOOKUP($B62,emp_info!$C$3:$U$100,15,FALSE)</f>
        <v>#N/A</v>
      </c>
      <c r="AF62" s="7" t="e">
        <f>VLOOKUP($B62,emp_info!$C$3:$U$100,16,FALSE)</f>
        <v>#N/A</v>
      </c>
      <c r="AG62" s="7" t="e">
        <f>VLOOKUP($B62,emp_info!$C$3:$U$100,17,FALSE)</f>
        <v>#N/A</v>
      </c>
      <c r="AH62" s="7" t="e">
        <f>VLOOKUP($B62,emp_info!$C$3:$U$100,18,FALSE)</f>
        <v>#N/A</v>
      </c>
      <c r="AI62" s="7" t="e">
        <f>VLOOKUP($G62,contragent!$B$3:$I$10,2,FALSE)</f>
        <v>#N/A</v>
      </c>
      <c r="AJ62" s="7" t="e">
        <f>VLOOKUP($G62,contragent!$B$3:$I$10,3,FALSE)</f>
        <v>#N/A</v>
      </c>
      <c r="AK62" s="7" t="e">
        <f>VLOOKUP($G62,contragent!$B$3:$I$10,4,FALSE)</f>
        <v>#N/A</v>
      </c>
      <c r="AL62" s="7" t="e">
        <f>VLOOKUP($G62,contragent!$B$3:$I$10,5,FALSE)</f>
        <v>#N/A</v>
      </c>
      <c r="AM62" s="7" t="e">
        <f>VLOOKUP($G62,contragent!$B$3:$I$10,6,FALSE)</f>
        <v>#N/A</v>
      </c>
      <c r="AN62" s="7" t="e">
        <f>VLOOKUP($G62,contragent!$B$3:$I$10,7,FALSE)</f>
        <v>#N/A</v>
      </c>
      <c r="AO62" s="7" t="e">
        <f>VLOOKUP($G62,contragent!$B$3:$I$10,8,FALSE)</f>
        <v>#N/A</v>
      </c>
    </row>
    <row r="63" spans="2:41" x14ac:dyDescent="0.25">
      <c r="B63" s="9"/>
      <c r="C63" s="11">
        <f t="shared" si="0"/>
        <v>0</v>
      </c>
      <c r="D63" s="9">
        <f>IFERROR(VLOOKUP($B63,emp_info!$C$3:$U$100,19,FALSE),0)</f>
        <v>0</v>
      </c>
      <c r="E63" s="15">
        <v>0</v>
      </c>
      <c r="F63" s="9" t="e">
        <f>DATEDIF(VLOOKUP(B63,emp_info!$C$3:$U$100,6,FALSE),DATE($A$10,$A$8,DAY(VLOOKUP(B63,emp_info!$C$3:$U$100,6,FALSE))),"m")+_xlfn.IFNA(VLOOKUP(B63,emp_info!$C$3:$V$100,20,FALSE),0)</f>
        <v>#N/A</v>
      </c>
      <c r="G63" s="10"/>
      <c r="H63" s="11" t="str">
        <f t="shared" si="11"/>
        <v/>
      </c>
      <c r="I63" s="17">
        <f t="shared" si="1"/>
        <v>43404</v>
      </c>
      <c r="J63" s="21">
        <f t="shared" si="2"/>
        <v>43404</v>
      </c>
      <c r="K63" s="19">
        <f t="shared" si="3"/>
        <v>43374</v>
      </c>
      <c r="L63" s="19">
        <f t="shared" si="4"/>
        <v>43404</v>
      </c>
      <c r="M63" s="18">
        <f t="shared" si="5"/>
        <v>43374</v>
      </c>
      <c r="N63" s="18">
        <f t="shared" si="6"/>
        <v>43404</v>
      </c>
      <c r="O63" s="7" t="str">
        <f t="shared" si="7"/>
        <v xml:space="preserve">Ноль </v>
      </c>
      <c r="P63" s="7" t="str">
        <f t="shared" si="8"/>
        <v>Долларов</v>
      </c>
      <c r="Q63" s="25">
        <f t="shared" si="9"/>
        <v>43417</v>
      </c>
      <c r="R63" s="26">
        <f t="shared" si="9"/>
        <v>43417</v>
      </c>
      <c r="S63" s="26">
        <f t="shared" si="10"/>
        <v>43423</v>
      </c>
      <c r="T63" s="7" t="e">
        <f>VLOOKUP($B63,emp_info!$C$3:$U$100,2,FALSE)</f>
        <v>#N/A</v>
      </c>
      <c r="U63" s="7" t="e">
        <f>VLOOKUP($B63,emp_info!$C$3:$U$100,3,FALSE)</f>
        <v>#N/A</v>
      </c>
      <c r="V63" s="25" t="e">
        <f>VLOOKUP($B63,emp_info!$C$3:$U$100,4,FALSE)</f>
        <v>#N/A</v>
      </c>
      <c r="W63" s="7" t="e">
        <f>VLOOKUP($B63,emp_info!$C$3:$U$100,5,FALSE)</f>
        <v>#N/A</v>
      </c>
      <c r="X63" s="25" t="e">
        <f>VLOOKUP($B63,emp_info!$C$3:$U$100,6,FALSE)</f>
        <v>#N/A</v>
      </c>
      <c r="Y63" s="7" t="e">
        <f>VLOOKUP($B63,emp_info!$C$3:$U$100,7,FALSE)</f>
        <v>#N/A</v>
      </c>
      <c r="Z63" s="7" t="e">
        <f>VLOOKUP($B63,emp_info!$C$3:$U$100,8,FALSE)</f>
        <v>#N/A</v>
      </c>
      <c r="AA63" s="7" t="e">
        <f>VLOOKUP($B63,emp_info!$C$3:$U$100,11,FALSE)</f>
        <v>#N/A</v>
      </c>
      <c r="AB63" s="7" t="e">
        <f>VLOOKUP($B63,emp_info!$C$3:$U$100,12,FALSE)</f>
        <v>#N/A</v>
      </c>
      <c r="AC63" s="7" t="e">
        <f>VLOOKUP($B63,emp_info!$C$3:$U$100,13,FALSE)</f>
        <v>#N/A</v>
      </c>
      <c r="AD63" s="7" t="e">
        <f>VLOOKUP($B63,emp_info!$C$3:$U$100,14,FALSE)</f>
        <v>#N/A</v>
      </c>
      <c r="AE63" s="7" t="e">
        <f>VLOOKUP($B63,emp_info!$C$3:$U$100,15,FALSE)</f>
        <v>#N/A</v>
      </c>
      <c r="AF63" s="7" t="e">
        <f>VLOOKUP($B63,emp_info!$C$3:$U$100,16,FALSE)</f>
        <v>#N/A</v>
      </c>
      <c r="AG63" s="7" t="e">
        <f>VLOOKUP($B63,emp_info!$C$3:$U$100,17,FALSE)</f>
        <v>#N/A</v>
      </c>
      <c r="AH63" s="7" t="e">
        <f>VLOOKUP($B63,emp_info!$C$3:$U$100,18,FALSE)</f>
        <v>#N/A</v>
      </c>
      <c r="AI63" s="7" t="e">
        <f>VLOOKUP($G63,contragent!$B$3:$I$10,2,FALSE)</f>
        <v>#N/A</v>
      </c>
      <c r="AJ63" s="7" t="e">
        <f>VLOOKUP($G63,contragent!$B$3:$I$10,3,FALSE)</f>
        <v>#N/A</v>
      </c>
      <c r="AK63" s="7" t="e">
        <f>VLOOKUP($G63,contragent!$B$3:$I$10,4,FALSE)</f>
        <v>#N/A</v>
      </c>
      <c r="AL63" s="7" t="e">
        <f>VLOOKUP($G63,contragent!$B$3:$I$10,5,FALSE)</f>
        <v>#N/A</v>
      </c>
      <c r="AM63" s="7" t="e">
        <f>VLOOKUP($G63,contragent!$B$3:$I$10,6,FALSE)</f>
        <v>#N/A</v>
      </c>
      <c r="AN63" s="7" t="e">
        <f>VLOOKUP($G63,contragent!$B$3:$I$10,7,FALSE)</f>
        <v>#N/A</v>
      </c>
      <c r="AO63" s="7" t="e">
        <f>VLOOKUP($G63,contragent!$B$3:$I$10,8,FALSE)</f>
        <v>#N/A</v>
      </c>
    </row>
    <row r="64" spans="2:41" x14ac:dyDescent="0.25">
      <c r="B64" s="9"/>
      <c r="C64" s="11">
        <f t="shared" si="0"/>
        <v>0</v>
      </c>
      <c r="D64" s="9">
        <f>IFERROR(VLOOKUP($B64,emp_info!$C$3:$U$100,19,FALSE),0)</f>
        <v>0</v>
      </c>
      <c r="E64" s="15">
        <v>0</v>
      </c>
      <c r="F64" s="9" t="e">
        <f>DATEDIF(VLOOKUP(B64,emp_info!$C$3:$U$100,6,FALSE),DATE($A$10,$A$8,DAY(VLOOKUP(B64,emp_info!$C$3:$U$100,6,FALSE))),"m")+_xlfn.IFNA(VLOOKUP(B64,emp_info!$C$3:$V$100,20,FALSE),0)</f>
        <v>#N/A</v>
      </c>
      <c r="G64" s="10"/>
      <c r="H64" s="11" t="str">
        <f t="shared" si="11"/>
        <v/>
      </c>
      <c r="I64" s="17">
        <f t="shared" si="1"/>
        <v>43404</v>
      </c>
      <c r="J64" s="21">
        <f t="shared" si="2"/>
        <v>43404</v>
      </c>
      <c r="K64" s="19">
        <f t="shared" si="3"/>
        <v>43374</v>
      </c>
      <c r="L64" s="19">
        <f t="shared" si="4"/>
        <v>43404</v>
      </c>
      <c r="M64" s="18">
        <f t="shared" si="5"/>
        <v>43374</v>
      </c>
      <c r="N64" s="18">
        <f t="shared" si="6"/>
        <v>43404</v>
      </c>
      <c r="O64" s="7" t="str">
        <f t="shared" si="7"/>
        <v xml:space="preserve">Ноль </v>
      </c>
      <c r="P64" s="7" t="str">
        <f t="shared" si="8"/>
        <v>Долларов</v>
      </c>
      <c r="Q64" s="25">
        <f t="shared" si="9"/>
        <v>43417</v>
      </c>
      <c r="R64" s="26">
        <f t="shared" si="9"/>
        <v>43417</v>
      </c>
      <c r="S64" s="26">
        <f t="shared" si="10"/>
        <v>43423</v>
      </c>
      <c r="T64" s="7" t="e">
        <f>VLOOKUP($B64,emp_info!$C$3:$U$100,2,FALSE)</f>
        <v>#N/A</v>
      </c>
      <c r="U64" s="7" t="e">
        <f>VLOOKUP($B64,emp_info!$C$3:$U$100,3,FALSE)</f>
        <v>#N/A</v>
      </c>
      <c r="V64" s="25" t="e">
        <f>VLOOKUP($B64,emp_info!$C$3:$U$100,4,FALSE)</f>
        <v>#N/A</v>
      </c>
      <c r="W64" s="7" t="e">
        <f>VLOOKUP($B64,emp_info!$C$3:$U$100,5,FALSE)</f>
        <v>#N/A</v>
      </c>
      <c r="X64" s="25" t="e">
        <f>VLOOKUP($B64,emp_info!$C$3:$U$100,6,FALSE)</f>
        <v>#N/A</v>
      </c>
      <c r="Y64" s="7" t="e">
        <f>VLOOKUP($B64,emp_info!$C$3:$U$100,7,FALSE)</f>
        <v>#N/A</v>
      </c>
      <c r="Z64" s="7" t="e">
        <f>VLOOKUP($B64,emp_info!$C$3:$U$100,8,FALSE)</f>
        <v>#N/A</v>
      </c>
      <c r="AA64" s="7" t="e">
        <f>VLOOKUP($B64,emp_info!$C$3:$U$100,11,FALSE)</f>
        <v>#N/A</v>
      </c>
      <c r="AB64" s="7" t="e">
        <f>VLOOKUP($B64,emp_info!$C$3:$U$100,12,FALSE)</f>
        <v>#N/A</v>
      </c>
      <c r="AC64" s="7" t="e">
        <f>VLOOKUP($B64,emp_info!$C$3:$U$100,13,FALSE)</f>
        <v>#N/A</v>
      </c>
      <c r="AD64" s="7" t="e">
        <f>VLOOKUP($B64,emp_info!$C$3:$U$100,14,FALSE)</f>
        <v>#N/A</v>
      </c>
      <c r="AE64" s="7" t="e">
        <f>VLOOKUP($B64,emp_info!$C$3:$U$100,15,FALSE)</f>
        <v>#N/A</v>
      </c>
      <c r="AF64" s="7" t="e">
        <f>VLOOKUP($B64,emp_info!$C$3:$U$100,16,FALSE)</f>
        <v>#N/A</v>
      </c>
      <c r="AG64" s="7" t="e">
        <f>VLOOKUP($B64,emp_info!$C$3:$U$100,17,FALSE)</f>
        <v>#N/A</v>
      </c>
      <c r="AH64" s="7" t="e">
        <f>VLOOKUP($B64,emp_info!$C$3:$U$100,18,FALSE)</f>
        <v>#N/A</v>
      </c>
      <c r="AI64" s="7" t="e">
        <f>VLOOKUP($G64,contragent!$B$3:$I$10,2,FALSE)</f>
        <v>#N/A</v>
      </c>
      <c r="AJ64" s="7" t="e">
        <f>VLOOKUP($G64,contragent!$B$3:$I$10,3,FALSE)</f>
        <v>#N/A</v>
      </c>
      <c r="AK64" s="7" t="e">
        <f>VLOOKUP($G64,contragent!$B$3:$I$10,4,FALSE)</f>
        <v>#N/A</v>
      </c>
      <c r="AL64" s="7" t="e">
        <f>VLOOKUP($G64,contragent!$B$3:$I$10,5,FALSE)</f>
        <v>#N/A</v>
      </c>
      <c r="AM64" s="7" t="e">
        <f>VLOOKUP($G64,contragent!$B$3:$I$10,6,FALSE)</f>
        <v>#N/A</v>
      </c>
      <c r="AN64" s="7" t="e">
        <f>VLOOKUP($G64,contragent!$B$3:$I$10,7,FALSE)</f>
        <v>#N/A</v>
      </c>
      <c r="AO64" s="7" t="e">
        <f>VLOOKUP($G64,contragent!$B$3:$I$10,8,FALSE)</f>
        <v>#N/A</v>
      </c>
    </row>
    <row r="65" spans="2:41" x14ac:dyDescent="0.25">
      <c r="B65" s="9"/>
      <c r="C65" s="11">
        <f t="shared" si="0"/>
        <v>0</v>
      </c>
      <c r="D65" s="9">
        <f>IFERROR(VLOOKUP($B65,emp_info!$C$3:$U$100,19,FALSE),0)</f>
        <v>0</v>
      </c>
      <c r="E65" s="15">
        <v>0</v>
      </c>
      <c r="F65" s="9" t="e">
        <f>DATEDIF(VLOOKUP(B65,emp_info!$C$3:$U$100,6,FALSE),DATE($A$10,$A$8,DAY(VLOOKUP(B65,emp_info!$C$3:$U$100,6,FALSE))),"m")+_xlfn.IFNA(VLOOKUP(B65,emp_info!$C$3:$V$100,20,FALSE),0)</f>
        <v>#N/A</v>
      </c>
      <c r="G65" s="10"/>
      <c r="H65" s="11" t="str">
        <f t="shared" si="11"/>
        <v/>
      </c>
      <c r="I65" s="17">
        <f t="shared" si="1"/>
        <v>43404</v>
      </c>
      <c r="J65" s="21">
        <f t="shared" si="2"/>
        <v>43404</v>
      </c>
      <c r="K65" s="19">
        <f t="shared" si="3"/>
        <v>43374</v>
      </c>
      <c r="L65" s="19">
        <f t="shared" si="4"/>
        <v>43404</v>
      </c>
      <c r="M65" s="18">
        <f t="shared" si="5"/>
        <v>43374</v>
      </c>
      <c r="N65" s="18">
        <f t="shared" si="6"/>
        <v>43404</v>
      </c>
      <c r="O65" s="7" t="str">
        <f t="shared" si="7"/>
        <v xml:space="preserve">Ноль </v>
      </c>
      <c r="P65" s="7" t="str">
        <f t="shared" si="8"/>
        <v>Долларов</v>
      </c>
      <c r="Q65" s="25">
        <f t="shared" si="9"/>
        <v>43417</v>
      </c>
      <c r="R65" s="26">
        <f t="shared" si="9"/>
        <v>43417</v>
      </c>
      <c r="S65" s="26">
        <f t="shared" si="10"/>
        <v>43423</v>
      </c>
      <c r="T65" s="7" t="e">
        <f>VLOOKUP($B65,emp_info!$C$3:$U$100,2,FALSE)</f>
        <v>#N/A</v>
      </c>
      <c r="U65" s="7" t="e">
        <f>VLOOKUP($B65,emp_info!$C$3:$U$100,3,FALSE)</f>
        <v>#N/A</v>
      </c>
      <c r="V65" s="25" t="e">
        <f>VLOOKUP($B65,emp_info!$C$3:$U$100,4,FALSE)</f>
        <v>#N/A</v>
      </c>
      <c r="W65" s="7" t="e">
        <f>VLOOKUP($B65,emp_info!$C$3:$U$100,5,FALSE)</f>
        <v>#N/A</v>
      </c>
      <c r="X65" s="25" t="e">
        <f>VLOOKUP($B65,emp_info!$C$3:$U$100,6,FALSE)</f>
        <v>#N/A</v>
      </c>
      <c r="Y65" s="7" t="e">
        <f>VLOOKUP($B65,emp_info!$C$3:$U$100,7,FALSE)</f>
        <v>#N/A</v>
      </c>
      <c r="Z65" s="7" t="e">
        <f>VLOOKUP($B65,emp_info!$C$3:$U$100,8,FALSE)</f>
        <v>#N/A</v>
      </c>
      <c r="AA65" s="7" t="e">
        <f>VLOOKUP($B65,emp_info!$C$3:$U$100,11,FALSE)</f>
        <v>#N/A</v>
      </c>
      <c r="AB65" s="7" t="e">
        <f>VLOOKUP($B65,emp_info!$C$3:$U$100,12,FALSE)</f>
        <v>#N/A</v>
      </c>
      <c r="AC65" s="7" t="e">
        <f>VLOOKUP($B65,emp_info!$C$3:$U$100,13,FALSE)</f>
        <v>#N/A</v>
      </c>
      <c r="AD65" s="7" t="e">
        <f>VLOOKUP($B65,emp_info!$C$3:$U$100,14,FALSE)</f>
        <v>#N/A</v>
      </c>
      <c r="AE65" s="7" t="e">
        <f>VLOOKUP($B65,emp_info!$C$3:$U$100,15,FALSE)</f>
        <v>#N/A</v>
      </c>
      <c r="AF65" s="7" t="e">
        <f>VLOOKUP($B65,emp_info!$C$3:$U$100,16,FALSE)</f>
        <v>#N/A</v>
      </c>
      <c r="AG65" s="7" t="e">
        <f>VLOOKUP($B65,emp_info!$C$3:$U$100,17,FALSE)</f>
        <v>#N/A</v>
      </c>
      <c r="AH65" s="7" t="e">
        <f>VLOOKUP($B65,emp_info!$C$3:$U$100,18,FALSE)</f>
        <v>#N/A</v>
      </c>
      <c r="AI65" s="7" t="e">
        <f>VLOOKUP($G65,contragent!$B$3:$I$10,2,FALSE)</f>
        <v>#N/A</v>
      </c>
      <c r="AJ65" s="7" t="e">
        <f>VLOOKUP($G65,contragent!$B$3:$I$10,3,FALSE)</f>
        <v>#N/A</v>
      </c>
      <c r="AK65" s="7" t="e">
        <f>VLOOKUP($G65,contragent!$B$3:$I$10,4,FALSE)</f>
        <v>#N/A</v>
      </c>
      <c r="AL65" s="7" t="e">
        <f>VLOOKUP($G65,contragent!$B$3:$I$10,5,FALSE)</f>
        <v>#N/A</v>
      </c>
      <c r="AM65" s="7" t="e">
        <f>VLOOKUP($G65,contragent!$B$3:$I$10,6,FALSE)</f>
        <v>#N/A</v>
      </c>
      <c r="AN65" s="7" t="e">
        <f>VLOOKUP($G65,contragent!$B$3:$I$10,7,FALSE)</f>
        <v>#N/A</v>
      </c>
      <c r="AO65" s="7" t="e">
        <f>VLOOKUP($G65,contragent!$B$3:$I$10,8,FALSE)</f>
        <v>#N/A</v>
      </c>
    </row>
    <row r="66" spans="2:41" x14ac:dyDescent="0.25">
      <c r="B66" s="9"/>
      <c r="C66" s="11">
        <f t="shared" si="0"/>
        <v>0</v>
      </c>
      <c r="D66" s="9">
        <f>IFERROR(VLOOKUP($B66,emp_info!$C$3:$U$100,19,FALSE),0)</f>
        <v>0</v>
      </c>
      <c r="E66" s="15">
        <v>0</v>
      </c>
      <c r="F66" s="9" t="e">
        <f>DATEDIF(VLOOKUP(B66,emp_info!$C$3:$U$100,6,FALSE),DATE($A$10,$A$8,DAY(VLOOKUP(B66,emp_info!$C$3:$U$100,6,FALSE))),"m")+_xlfn.IFNA(VLOOKUP(B66,emp_info!$C$3:$V$100,20,FALSE),0)</f>
        <v>#N/A</v>
      </c>
      <c r="G66" s="10"/>
      <c r="H66" s="11" t="str">
        <f t="shared" si="11"/>
        <v/>
      </c>
      <c r="I66" s="17">
        <f t="shared" si="1"/>
        <v>43404</v>
      </c>
      <c r="J66" s="21">
        <f t="shared" si="2"/>
        <v>43404</v>
      </c>
      <c r="K66" s="19">
        <f t="shared" si="3"/>
        <v>43374</v>
      </c>
      <c r="L66" s="19">
        <f t="shared" si="4"/>
        <v>43404</v>
      </c>
      <c r="M66" s="18">
        <f t="shared" si="5"/>
        <v>43374</v>
      </c>
      <c r="N66" s="18">
        <f t="shared" si="6"/>
        <v>43404</v>
      </c>
      <c r="O66" s="7" t="str">
        <f t="shared" si="7"/>
        <v xml:space="preserve">Ноль </v>
      </c>
      <c r="P66" s="7" t="str">
        <f t="shared" si="8"/>
        <v>Долларов</v>
      </c>
      <c r="Q66" s="25">
        <f t="shared" si="9"/>
        <v>43417</v>
      </c>
      <c r="R66" s="26">
        <f t="shared" si="9"/>
        <v>43417</v>
      </c>
      <c r="S66" s="26">
        <f t="shared" si="10"/>
        <v>43423</v>
      </c>
      <c r="T66" s="7" t="e">
        <f>VLOOKUP($B66,emp_info!$C$3:$U$100,2,FALSE)</f>
        <v>#N/A</v>
      </c>
      <c r="U66" s="7" t="e">
        <f>VLOOKUP($B66,emp_info!$C$3:$U$100,3,FALSE)</f>
        <v>#N/A</v>
      </c>
      <c r="V66" s="25" t="e">
        <f>VLOOKUP($B66,emp_info!$C$3:$U$100,4,FALSE)</f>
        <v>#N/A</v>
      </c>
      <c r="W66" s="7" t="e">
        <f>VLOOKUP($B66,emp_info!$C$3:$U$100,5,FALSE)</f>
        <v>#N/A</v>
      </c>
      <c r="X66" s="25" t="e">
        <f>VLOOKUP($B66,emp_info!$C$3:$U$100,6,FALSE)</f>
        <v>#N/A</v>
      </c>
      <c r="Y66" s="7" t="e">
        <f>VLOOKUP($B66,emp_info!$C$3:$U$100,7,FALSE)</f>
        <v>#N/A</v>
      </c>
      <c r="Z66" s="7" t="e">
        <f>VLOOKUP($B66,emp_info!$C$3:$U$100,8,FALSE)</f>
        <v>#N/A</v>
      </c>
      <c r="AA66" s="7" t="e">
        <f>VLOOKUP($B66,emp_info!$C$3:$U$100,11,FALSE)</f>
        <v>#N/A</v>
      </c>
      <c r="AB66" s="7" t="e">
        <f>VLOOKUP($B66,emp_info!$C$3:$U$100,12,FALSE)</f>
        <v>#N/A</v>
      </c>
      <c r="AC66" s="7" t="e">
        <f>VLOOKUP($B66,emp_info!$C$3:$U$100,13,FALSE)</f>
        <v>#N/A</v>
      </c>
      <c r="AD66" s="7" t="e">
        <f>VLOOKUP($B66,emp_info!$C$3:$U$100,14,FALSE)</f>
        <v>#N/A</v>
      </c>
      <c r="AE66" s="7" t="e">
        <f>VLOOKUP($B66,emp_info!$C$3:$U$100,15,FALSE)</f>
        <v>#N/A</v>
      </c>
      <c r="AF66" s="7" t="e">
        <f>VLOOKUP($B66,emp_info!$C$3:$U$100,16,FALSE)</f>
        <v>#N/A</v>
      </c>
      <c r="AG66" s="7" t="e">
        <f>VLOOKUP($B66,emp_info!$C$3:$U$100,17,FALSE)</f>
        <v>#N/A</v>
      </c>
      <c r="AH66" s="7" t="e">
        <f>VLOOKUP($B66,emp_info!$C$3:$U$100,18,FALSE)</f>
        <v>#N/A</v>
      </c>
      <c r="AI66" s="7" t="e">
        <f>VLOOKUP($G66,contragent!$B$3:$I$10,2,FALSE)</f>
        <v>#N/A</v>
      </c>
      <c r="AJ66" s="7" t="e">
        <f>VLOOKUP($G66,contragent!$B$3:$I$10,3,FALSE)</f>
        <v>#N/A</v>
      </c>
      <c r="AK66" s="7" t="e">
        <f>VLOOKUP($G66,contragent!$B$3:$I$10,4,FALSE)</f>
        <v>#N/A</v>
      </c>
      <c r="AL66" s="7" t="e">
        <f>VLOOKUP($G66,contragent!$B$3:$I$10,5,FALSE)</f>
        <v>#N/A</v>
      </c>
      <c r="AM66" s="7" t="e">
        <f>VLOOKUP($G66,contragent!$B$3:$I$10,6,FALSE)</f>
        <v>#N/A</v>
      </c>
      <c r="AN66" s="7" t="e">
        <f>VLOOKUP($G66,contragent!$B$3:$I$10,7,FALSE)</f>
        <v>#N/A</v>
      </c>
      <c r="AO66" s="7" t="e">
        <f>VLOOKUP($G66,contragent!$B$3:$I$10,8,FALSE)</f>
        <v>#N/A</v>
      </c>
    </row>
    <row r="67" spans="2:41" x14ac:dyDescent="0.25">
      <c r="B67" s="9"/>
      <c r="C67" s="11">
        <f t="shared" si="0"/>
        <v>0</v>
      </c>
      <c r="D67" s="9">
        <f>IFERROR(VLOOKUP($B67,emp_info!$C$3:$U$100,19,FALSE),0)</f>
        <v>0</v>
      </c>
      <c r="E67" s="15">
        <v>0</v>
      </c>
      <c r="F67" s="9" t="e">
        <f>DATEDIF(VLOOKUP(B67,emp_info!$C$3:$U$100,6,FALSE),DATE($A$10,$A$8,DAY(VLOOKUP(B67,emp_info!$C$3:$U$100,6,FALSE))),"m")+_xlfn.IFNA(VLOOKUP(B67,emp_info!$C$3:$V$100,20,FALSE),0)</f>
        <v>#N/A</v>
      </c>
      <c r="G67" s="10"/>
      <c r="H67" s="11" t="str">
        <f t="shared" si="11"/>
        <v/>
      </c>
      <c r="I67" s="17">
        <f t="shared" si="1"/>
        <v>43404</v>
      </c>
      <c r="J67" s="21">
        <f t="shared" si="2"/>
        <v>43404</v>
      </c>
      <c r="K67" s="19">
        <f t="shared" si="3"/>
        <v>43374</v>
      </c>
      <c r="L67" s="19">
        <f t="shared" si="4"/>
        <v>43404</v>
      </c>
      <c r="M67" s="18">
        <f t="shared" si="5"/>
        <v>43374</v>
      </c>
      <c r="N67" s="18">
        <f t="shared" si="6"/>
        <v>43404</v>
      </c>
      <c r="O67" s="7" t="str">
        <f t="shared" si="7"/>
        <v xml:space="preserve">Ноль </v>
      </c>
      <c r="P67" s="7" t="str">
        <f t="shared" si="8"/>
        <v>Долларов</v>
      </c>
      <c r="Q67" s="25">
        <f t="shared" si="9"/>
        <v>43417</v>
      </c>
      <c r="R67" s="26">
        <f t="shared" si="9"/>
        <v>43417</v>
      </c>
      <c r="S67" s="26">
        <f t="shared" si="10"/>
        <v>43423</v>
      </c>
      <c r="T67" s="7" t="e">
        <f>VLOOKUP($B67,emp_info!$C$3:$U$100,2,FALSE)</f>
        <v>#N/A</v>
      </c>
      <c r="U67" s="7" t="e">
        <f>VLOOKUP($B67,emp_info!$C$3:$U$100,3,FALSE)</f>
        <v>#N/A</v>
      </c>
      <c r="V67" s="25" t="e">
        <f>VLOOKUP($B67,emp_info!$C$3:$U$100,4,FALSE)</f>
        <v>#N/A</v>
      </c>
      <c r="W67" s="7" t="e">
        <f>VLOOKUP($B67,emp_info!$C$3:$U$100,5,FALSE)</f>
        <v>#N/A</v>
      </c>
      <c r="X67" s="25" t="e">
        <f>VLOOKUP($B67,emp_info!$C$3:$U$100,6,FALSE)</f>
        <v>#N/A</v>
      </c>
      <c r="Y67" s="7" t="e">
        <f>VLOOKUP($B67,emp_info!$C$3:$U$100,7,FALSE)</f>
        <v>#N/A</v>
      </c>
      <c r="Z67" s="7" t="e">
        <f>VLOOKUP($B67,emp_info!$C$3:$U$100,8,FALSE)</f>
        <v>#N/A</v>
      </c>
      <c r="AA67" s="7" t="e">
        <f>VLOOKUP($B67,emp_info!$C$3:$U$100,11,FALSE)</f>
        <v>#N/A</v>
      </c>
      <c r="AB67" s="7" t="e">
        <f>VLOOKUP($B67,emp_info!$C$3:$U$100,12,FALSE)</f>
        <v>#N/A</v>
      </c>
      <c r="AC67" s="7" t="e">
        <f>VLOOKUP($B67,emp_info!$C$3:$U$100,13,FALSE)</f>
        <v>#N/A</v>
      </c>
      <c r="AD67" s="7" t="e">
        <f>VLOOKUP($B67,emp_info!$C$3:$U$100,14,FALSE)</f>
        <v>#N/A</v>
      </c>
      <c r="AE67" s="7" t="e">
        <f>VLOOKUP($B67,emp_info!$C$3:$U$100,15,FALSE)</f>
        <v>#N/A</v>
      </c>
      <c r="AF67" s="7" t="e">
        <f>VLOOKUP($B67,emp_info!$C$3:$U$100,16,FALSE)</f>
        <v>#N/A</v>
      </c>
      <c r="AG67" s="7" t="e">
        <f>VLOOKUP($B67,emp_info!$C$3:$U$100,17,FALSE)</f>
        <v>#N/A</v>
      </c>
      <c r="AH67" s="7" t="e">
        <f>VLOOKUP($B67,emp_info!$C$3:$U$100,18,FALSE)</f>
        <v>#N/A</v>
      </c>
      <c r="AI67" s="7" t="e">
        <f>VLOOKUP($G67,contragent!$B$3:$I$10,2,FALSE)</f>
        <v>#N/A</v>
      </c>
      <c r="AJ67" s="7" t="e">
        <f>VLOOKUP($G67,contragent!$B$3:$I$10,3,FALSE)</f>
        <v>#N/A</v>
      </c>
      <c r="AK67" s="7" t="e">
        <f>VLOOKUP($G67,contragent!$B$3:$I$10,4,FALSE)</f>
        <v>#N/A</v>
      </c>
      <c r="AL67" s="7" t="e">
        <f>VLOOKUP($G67,contragent!$B$3:$I$10,5,FALSE)</f>
        <v>#N/A</v>
      </c>
      <c r="AM67" s="7" t="e">
        <f>VLOOKUP($G67,contragent!$B$3:$I$10,6,FALSE)</f>
        <v>#N/A</v>
      </c>
      <c r="AN67" s="7" t="e">
        <f>VLOOKUP($G67,contragent!$B$3:$I$10,7,FALSE)</f>
        <v>#N/A</v>
      </c>
      <c r="AO67" s="7" t="e">
        <f>VLOOKUP($G67,contragent!$B$3:$I$10,8,FALSE)</f>
        <v>#N/A</v>
      </c>
    </row>
    <row r="68" spans="2:41" x14ac:dyDescent="0.25">
      <c r="B68" s="9"/>
      <c r="C68" s="11">
        <f t="shared" ref="C68:C100" si="12">D68*E68</f>
        <v>0</v>
      </c>
      <c r="D68" s="9">
        <f>IFERROR(VLOOKUP($B68,emp_info!$C$3:$U$100,19,FALSE),0)</f>
        <v>0</v>
      </c>
      <c r="E68" s="15">
        <v>0</v>
      </c>
      <c r="F68" s="9" t="e">
        <f>DATEDIF(VLOOKUP(B68,emp_info!$C$3:$U$100,6,FALSE),DATE($A$10,$A$8,DAY(VLOOKUP(B68,emp_info!$C$3:$U$100,6,FALSE))),"m")+_xlfn.IFNA(VLOOKUP(B68,emp_info!$C$3:$V$100,20,FALSE),0)</f>
        <v>#N/A</v>
      </c>
      <c r="G68" s="10"/>
      <c r="H68" s="11" t="str">
        <f t="shared" si="11"/>
        <v/>
      </c>
      <c r="I68" s="17">
        <f t="shared" ref="I68:I100" si="13">EOMONTH($A$12,-1)</f>
        <v>43404</v>
      </c>
      <c r="J68" s="21">
        <f t="shared" ref="J68:J100" si="14">EOMONTH($A$12,-1)</f>
        <v>43404</v>
      </c>
      <c r="K68" s="19">
        <f t="shared" ref="K68:K100" si="15">EOMONTH($A$12,-2)+1</f>
        <v>43374</v>
      </c>
      <c r="L68" s="19">
        <f t="shared" ref="L68:L100" si="16">EOMONTH($A$12,-1)</f>
        <v>43404</v>
      </c>
      <c r="M68" s="18">
        <f t="shared" ref="M68:M100" si="17">EOMONTH($A$12,-2)+1</f>
        <v>43374</v>
      </c>
      <c r="N68" s="18">
        <f t="shared" ref="N68:N100" si="18">EOMONTH($A$12,-1)</f>
        <v>43404</v>
      </c>
      <c r="O68" s="7" t="str">
        <f t="shared" ref="O68:O100" si="19">СуммаПрописью(C68)</f>
        <v xml:space="preserve">Ноль </v>
      </c>
      <c r="P68" s="7" t="str">
        <f t="shared" ref="P68:P100" si="20">Склондолларов(C68)</f>
        <v>Долларов</v>
      </c>
      <c r="Q68" s="25">
        <f t="shared" ref="Q68:R100" si="21">$A$12</f>
        <v>43417</v>
      </c>
      <c r="R68" s="26">
        <f t="shared" si="21"/>
        <v>43417</v>
      </c>
      <c r="S68" s="26">
        <f t="shared" ref="S68:S100" si="22">$A$14</f>
        <v>43423</v>
      </c>
      <c r="T68" s="7" t="e">
        <f>VLOOKUP($B68,emp_info!$C$3:$U$100,2,FALSE)</f>
        <v>#N/A</v>
      </c>
      <c r="U68" s="7" t="e">
        <f>VLOOKUP($B68,emp_info!$C$3:$U$100,3,FALSE)</f>
        <v>#N/A</v>
      </c>
      <c r="V68" s="25" t="e">
        <f>VLOOKUP($B68,emp_info!$C$3:$U$100,4,FALSE)</f>
        <v>#N/A</v>
      </c>
      <c r="W68" s="7" t="e">
        <f>VLOOKUP($B68,emp_info!$C$3:$U$100,5,FALSE)</f>
        <v>#N/A</v>
      </c>
      <c r="X68" s="25" t="e">
        <f>VLOOKUP($B68,emp_info!$C$3:$U$100,6,FALSE)</f>
        <v>#N/A</v>
      </c>
      <c r="Y68" s="7" t="e">
        <f>VLOOKUP($B68,emp_info!$C$3:$U$100,7,FALSE)</f>
        <v>#N/A</v>
      </c>
      <c r="Z68" s="7" t="e">
        <f>VLOOKUP($B68,emp_info!$C$3:$U$100,8,FALSE)</f>
        <v>#N/A</v>
      </c>
      <c r="AA68" s="7" t="e">
        <f>VLOOKUP($B68,emp_info!$C$3:$U$100,11,FALSE)</f>
        <v>#N/A</v>
      </c>
      <c r="AB68" s="7" t="e">
        <f>VLOOKUP($B68,emp_info!$C$3:$U$100,12,FALSE)</f>
        <v>#N/A</v>
      </c>
      <c r="AC68" s="7" t="e">
        <f>VLOOKUP($B68,emp_info!$C$3:$U$100,13,FALSE)</f>
        <v>#N/A</v>
      </c>
      <c r="AD68" s="7" t="e">
        <f>VLOOKUP($B68,emp_info!$C$3:$U$100,14,FALSE)</f>
        <v>#N/A</v>
      </c>
      <c r="AE68" s="7" t="e">
        <f>VLOOKUP($B68,emp_info!$C$3:$U$100,15,FALSE)</f>
        <v>#N/A</v>
      </c>
      <c r="AF68" s="7" t="e">
        <f>VLOOKUP($B68,emp_info!$C$3:$U$100,16,FALSE)</f>
        <v>#N/A</v>
      </c>
      <c r="AG68" s="7" t="e">
        <f>VLOOKUP($B68,emp_info!$C$3:$U$100,17,FALSE)</f>
        <v>#N/A</v>
      </c>
      <c r="AH68" s="7" t="e">
        <f>VLOOKUP($B68,emp_info!$C$3:$U$100,18,FALSE)</f>
        <v>#N/A</v>
      </c>
      <c r="AI68" s="7" t="e">
        <f>VLOOKUP($G68,contragent!$B$3:$I$10,2,FALSE)</f>
        <v>#N/A</v>
      </c>
      <c r="AJ68" s="7" t="e">
        <f>VLOOKUP($G68,contragent!$B$3:$I$10,3,FALSE)</f>
        <v>#N/A</v>
      </c>
      <c r="AK68" s="7" t="e">
        <f>VLOOKUP($G68,contragent!$B$3:$I$10,4,FALSE)</f>
        <v>#N/A</v>
      </c>
      <c r="AL68" s="7" t="e">
        <f>VLOOKUP($G68,contragent!$B$3:$I$10,5,FALSE)</f>
        <v>#N/A</v>
      </c>
      <c r="AM68" s="7" t="e">
        <f>VLOOKUP($G68,contragent!$B$3:$I$10,6,FALSE)</f>
        <v>#N/A</v>
      </c>
      <c r="AN68" s="7" t="e">
        <f>VLOOKUP($G68,contragent!$B$3:$I$10,7,FALSE)</f>
        <v>#N/A</v>
      </c>
      <c r="AO68" s="7" t="e">
        <f>VLOOKUP($G68,contragent!$B$3:$I$10,8,FALSE)</f>
        <v>#N/A</v>
      </c>
    </row>
    <row r="69" spans="2:41" x14ac:dyDescent="0.25">
      <c r="B69" s="9"/>
      <c r="C69" s="11">
        <f t="shared" si="12"/>
        <v>0</v>
      </c>
      <c r="D69" s="9">
        <f>IFERROR(VLOOKUP($B69,emp_info!$C$3:$U$100,19,FALSE),0)</f>
        <v>0</v>
      </c>
      <c r="E69" s="15">
        <v>0</v>
      </c>
      <c r="F69" s="9" t="e">
        <f>DATEDIF(VLOOKUP(B69,emp_info!$C$3:$U$100,6,FALSE),DATE($A$10,$A$8,DAY(VLOOKUP(B69,emp_info!$C$3:$U$100,6,FALSE))),"m")+_xlfn.IFNA(VLOOKUP(B69,emp_info!$C$3:$V$100,20,FALSE),0)</f>
        <v>#N/A</v>
      </c>
      <c r="G69" s="10"/>
      <c r="H69" s="11" t="str">
        <f t="shared" ref="H69:H99" si="23">NumberstoWords(C69)</f>
        <v/>
      </c>
      <c r="I69" s="17">
        <f t="shared" si="13"/>
        <v>43404</v>
      </c>
      <c r="J69" s="21">
        <f t="shared" si="14"/>
        <v>43404</v>
      </c>
      <c r="K69" s="19">
        <f t="shared" si="15"/>
        <v>43374</v>
      </c>
      <c r="L69" s="19">
        <f t="shared" si="16"/>
        <v>43404</v>
      </c>
      <c r="M69" s="18">
        <f t="shared" si="17"/>
        <v>43374</v>
      </c>
      <c r="N69" s="18">
        <f t="shared" si="18"/>
        <v>43404</v>
      </c>
      <c r="O69" s="7" t="str">
        <f t="shared" si="19"/>
        <v xml:space="preserve">Ноль </v>
      </c>
      <c r="P69" s="7" t="str">
        <f t="shared" si="20"/>
        <v>Долларов</v>
      </c>
      <c r="Q69" s="25">
        <f t="shared" si="21"/>
        <v>43417</v>
      </c>
      <c r="R69" s="26">
        <f t="shared" si="21"/>
        <v>43417</v>
      </c>
      <c r="S69" s="26">
        <f t="shared" si="22"/>
        <v>43423</v>
      </c>
      <c r="T69" s="7" t="e">
        <f>VLOOKUP($B69,emp_info!$C$3:$U$100,2,FALSE)</f>
        <v>#N/A</v>
      </c>
      <c r="U69" s="7" t="e">
        <f>VLOOKUP($B69,emp_info!$C$3:$U$100,3,FALSE)</f>
        <v>#N/A</v>
      </c>
      <c r="V69" s="25" t="e">
        <f>VLOOKUP($B69,emp_info!$C$3:$U$100,4,FALSE)</f>
        <v>#N/A</v>
      </c>
      <c r="W69" s="7" t="e">
        <f>VLOOKUP($B69,emp_info!$C$3:$U$100,5,FALSE)</f>
        <v>#N/A</v>
      </c>
      <c r="X69" s="25" t="e">
        <f>VLOOKUP($B69,emp_info!$C$3:$U$100,6,FALSE)</f>
        <v>#N/A</v>
      </c>
      <c r="Y69" s="7" t="e">
        <f>VLOOKUP($B69,emp_info!$C$3:$U$100,7,FALSE)</f>
        <v>#N/A</v>
      </c>
      <c r="Z69" s="7" t="e">
        <f>VLOOKUP($B69,emp_info!$C$3:$U$100,8,FALSE)</f>
        <v>#N/A</v>
      </c>
      <c r="AA69" s="7" t="e">
        <f>VLOOKUP($B69,emp_info!$C$3:$U$100,11,FALSE)</f>
        <v>#N/A</v>
      </c>
      <c r="AB69" s="7" t="e">
        <f>VLOOKUP($B69,emp_info!$C$3:$U$100,12,FALSE)</f>
        <v>#N/A</v>
      </c>
      <c r="AC69" s="7" t="e">
        <f>VLOOKUP($B69,emp_info!$C$3:$U$100,13,FALSE)</f>
        <v>#N/A</v>
      </c>
      <c r="AD69" s="7" t="e">
        <f>VLOOKUP($B69,emp_info!$C$3:$U$100,14,FALSE)</f>
        <v>#N/A</v>
      </c>
      <c r="AE69" s="7" t="e">
        <f>VLOOKUP($B69,emp_info!$C$3:$U$100,15,FALSE)</f>
        <v>#N/A</v>
      </c>
      <c r="AF69" s="7" t="e">
        <f>VLOOKUP($B69,emp_info!$C$3:$U$100,16,FALSE)</f>
        <v>#N/A</v>
      </c>
      <c r="AG69" s="7" t="e">
        <f>VLOOKUP($B69,emp_info!$C$3:$U$100,17,FALSE)</f>
        <v>#N/A</v>
      </c>
      <c r="AH69" s="7" t="e">
        <f>VLOOKUP($B69,emp_info!$C$3:$U$100,18,FALSE)</f>
        <v>#N/A</v>
      </c>
      <c r="AI69" s="7" t="e">
        <f>VLOOKUP($G69,contragent!$B$3:$I$10,2,FALSE)</f>
        <v>#N/A</v>
      </c>
      <c r="AJ69" s="7" t="e">
        <f>VLOOKUP($G69,contragent!$B$3:$I$10,3,FALSE)</f>
        <v>#N/A</v>
      </c>
      <c r="AK69" s="7" t="e">
        <f>VLOOKUP($G69,contragent!$B$3:$I$10,4,FALSE)</f>
        <v>#N/A</v>
      </c>
      <c r="AL69" s="7" t="e">
        <f>VLOOKUP($G69,contragent!$B$3:$I$10,5,FALSE)</f>
        <v>#N/A</v>
      </c>
      <c r="AM69" s="7" t="e">
        <f>VLOOKUP($G69,contragent!$B$3:$I$10,6,FALSE)</f>
        <v>#N/A</v>
      </c>
      <c r="AN69" s="7" t="e">
        <f>VLOOKUP($G69,contragent!$B$3:$I$10,7,FALSE)</f>
        <v>#N/A</v>
      </c>
      <c r="AO69" s="7" t="e">
        <f>VLOOKUP($G69,contragent!$B$3:$I$10,8,FALSE)</f>
        <v>#N/A</v>
      </c>
    </row>
    <row r="70" spans="2:41" x14ac:dyDescent="0.25">
      <c r="B70" s="9"/>
      <c r="C70" s="11">
        <f t="shared" si="12"/>
        <v>0</v>
      </c>
      <c r="D70" s="9">
        <f>IFERROR(VLOOKUP($B70,emp_info!$C$3:$U$100,19,FALSE),0)</f>
        <v>0</v>
      </c>
      <c r="E70" s="15">
        <v>0</v>
      </c>
      <c r="F70" s="9" t="e">
        <f>DATEDIF(VLOOKUP(B70,emp_info!$C$3:$U$100,6,FALSE),DATE($A$10,$A$8,DAY(VLOOKUP(B70,emp_info!$C$3:$U$100,6,FALSE))),"m")+_xlfn.IFNA(VLOOKUP(B70,emp_info!$C$3:$V$100,20,FALSE),0)</f>
        <v>#N/A</v>
      </c>
      <c r="G70" s="10"/>
      <c r="H70" s="11" t="str">
        <f t="shared" si="23"/>
        <v/>
      </c>
      <c r="I70" s="17">
        <f t="shared" si="13"/>
        <v>43404</v>
      </c>
      <c r="J70" s="21">
        <f t="shared" si="14"/>
        <v>43404</v>
      </c>
      <c r="K70" s="19">
        <f t="shared" si="15"/>
        <v>43374</v>
      </c>
      <c r="L70" s="19">
        <f t="shared" si="16"/>
        <v>43404</v>
      </c>
      <c r="M70" s="18">
        <f t="shared" si="17"/>
        <v>43374</v>
      </c>
      <c r="N70" s="18">
        <f t="shared" si="18"/>
        <v>43404</v>
      </c>
      <c r="O70" s="7" t="str">
        <f t="shared" si="19"/>
        <v xml:space="preserve">Ноль </v>
      </c>
      <c r="P70" s="7" t="str">
        <f t="shared" si="20"/>
        <v>Долларов</v>
      </c>
      <c r="Q70" s="25">
        <f t="shared" si="21"/>
        <v>43417</v>
      </c>
      <c r="R70" s="26">
        <f t="shared" si="21"/>
        <v>43417</v>
      </c>
      <c r="S70" s="26">
        <f t="shared" si="22"/>
        <v>43423</v>
      </c>
      <c r="T70" s="7" t="e">
        <f>VLOOKUP($B70,emp_info!$C$3:$U$100,2,FALSE)</f>
        <v>#N/A</v>
      </c>
      <c r="U70" s="7" t="e">
        <f>VLOOKUP($B70,emp_info!$C$3:$U$100,3,FALSE)</f>
        <v>#N/A</v>
      </c>
      <c r="V70" s="25" t="e">
        <f>VLOOKUP($B70,emp_info!$C$3:$U$100,4,FALSE)</f>
        <v>#N/A</v>
      </c>
      <c r="W70" s="7" t="e">
        <f>VLOOKUP($B70,emp_info!$C$3:$U$100,5,FALSE)</f>
        <v>#N/A</v>
      </c>
      <c r="X70" s="25" t="e">
        <f>VLOOKUP($B70,emp_info!$C$3:$U$100,6,FALSE)</f>
        <v>#N/A</v>
      </c>
      <c r="Y70" s="7" t="e">
        <f>VLOOKUP($B70,emp_info!$C$3:$U$100,7,FALSE)</f>
        <v>#N/A</v>
      </c>
      <c r="Z70" s="7" t="e">
        <f>VLOOKUP($B70,emp_info!$C$3:$U$100,8,FALSE)</f>
        <v>#N/A</v>
      </c>
      <c r="AA70" s="7" t="e">
        <f>VLOOKUP($B70,emp_info!$C$3:$U$100,11,FALSE)</f>
        <v>#N/A</v>
      </c>
      <c r="AB70" s="7" t="e">
        <f>VLOOKUP($B70,emp_info!$C$3:$U$100,12,FALSE)</f>
        <v>#N/A</v>
      </c>
      <c r="AC70" s="7" t="e">
        <f>VLOOKUP($B70,emp_info!$C$3:$U$100,13,FALSE)</f>
        <v>#N/A</v>
      </c>
      <c r="AD70" s="7" t="e">
        <f>VLOOKUP($B70,emp_info!$C$3:$U$100,14,FALSE)</f>
        <v>#N/A</v>
      </c>
      <c r="AE70" s="7" t="e">
        <f>VLOOKUP($B70,emp_info!$C$3:$U$100,15,FALSE)</f>
        <v>#N/A</v>
      </c>
      <c r="AF70" s="7" t="e">
        <f>VLOOKUP($B70,emp_info!$C$3:$U$100,16,FALSE)</f>
        <v>#N/A</v>
      </c>
      <c r="AG70" s="7" t="e">
        <f>VLOOKUP($B70,emp_info!$C$3:$U$100,17,FALSE)</f>
        <v>#N/A</v>
      </c>
      <c r="AH70" s="7" t="e">
        <f>VLOOKUP($B70,emp_info!$C$3:$U$100,18,FALSE)</f>
        <v>#N/A</v>
      </c>
      <c r="AI70" s="7" t="e">
        <f>VLOOKUP($G70,contragent!$B$3:$I$10,2,FALSE)</f>
        <v>#N/A</v>
      </c>
      <c r="AJ70" s="7" t="e">
        <f>VLOOKUP($G70,contragent!$B$3:$I$10,3,FALSE)</f>
        <v>#N/A</v>
      </c>
      <c r="AK70" s="7" t="e">
        <f>VLOOKUP($G70,contragent!$B$3:$I$10,4,FALSE)</f>
        <v>#N/A</v>
      </c>
      <c r="AL70" s="7" t="e">
        <f>VLOOKUP($G70,contragent!$B$3:$I$10,5,FALSE)</f>
        <v>#N/A</v>
      </c>
      <c r="AM70" s="7" t="e">
        <f>VLOOKUP($G70,contragent!$B$3:$I$10,6,FALSE)</f>
        <v>#N/A</v>
      </c>
      <c r="AN70" s="7" t="e">
        <f>VLOOKUP($G70,contragent!$B$3:$I$10,7,FALSE)</f>
        <v>#N/A</v>
      </c>
      <c r="AO70" s="7" t="e">
        <f>VLOOKUP($G70,contragent!$B$3:$I$10,8,FALSE)</f>
        <v>#N/A</v>
      </c>
    </row>
    <row r="71" spans="2:41" x14ac:dyDescent="0.25">
      <c r="B71" s="9"/>
      <c r="C71" s="11">
        <f t="shared" si="12"/>
        <v>0</v>
      </c>
      <c r="D71" s="9">
        <f>IFERROR(VLOOKUP($B71,emp_info!$C$3:$U$100,19,FALSE),0)</f>
        <v>0</v>
      </c>
      <c r="E71" s="15">
        <v>0</v>
      </c>
      <c r="F71" s="9" t="e">
        <f>DATEDIF(VLOOKUP(B71,emp_info!$C$3:$U$100,6,FALSE),DATE($A$10,$A$8,DAY(VLOOKUP(B71,emp_info!$C$3:$U$100,6,FALSE))),"m")+_xlfn.IFNA(VLOOKUP(B71,emp_info!$C$3:$V$100,20,FALSE),0)</f>
        <v>#N/A</v>
      </c>
      <c r="G71" s="10"/>
      <c r="H71" s="11" t="str">
        <f t="shared" si="23"/>
        <v/>
      </c>
      <c r="I71" s="17">
        <f t="shared" si="13"/>
        <v>43404</v>
      </c>
      <c r="J71" s="21">
        <f t="shared" si="14"/>
        <v>43404</v>
      </c>
      <c r="K71" s="19">
        <f t="shared" si="15"/>
        <v>43374</v>
      </c>
      <c r="L71" s="19">
        <f t="shared" si="16"/>
        <v>43404</v>
      </c>
      <c r="M71" s="18">
        <f t="shared" si="17"/>
        <v>43374</v>
      </c>
      <c r="N71" s="18">
        <f t="shared" si="18"/>
        <v>43404</v>
      </c>
      <c r="O71" s="7" t="str">
        <f t="shared" si="19"/>
        <v xml:space="preserve">Ноль </v>
      </c>
      <c r="P71" s="7" t="str">
        <f t="shared" si="20"/>
        <v>Долларов</v>
      </c>
      <c r="Q71" s="25">
        <f t="shared" si="21"/>
        <v>43417</v>
      </c>
      <c r="R71" s="26">
        <f t="shared" si="21"/>
        <v>43417</v>
      </c>
      <c r="S71" s="26">
        <f t="shared" si="22"/>
        <v>43423</v>
      </c>
      <c r="T71" s="7" t="e">
        <f>VLOOKUP($B71,emp_info!$C$3:$U$100,2,FALSE)</f>
        <v>#N/A</v>
      </c>
      <c r="U71" s="7" t="e">
        <f>VLOOKUP($B71,emp_info!$C$3:$U$100,3,FALSE)</f>
        <v>#N/A</v>
      </c>
      <c r="V71" s="25" t="e">
        <f>VLOOKUP($B71,emp_info!$C$3:$U$100,4,FALSE)</f>
        <v>#N/A</v>
      </c>
      <c r="W71" s="7" t="e">
        <f>VLOOKUP($B71,emp_info!$C$3:$U$100,5,FALSE)</f>
        <v>#N/A</v>
      </c>
      <c r="X71" s="25" t="e">
        <f>VLOOKUP($B71,emp_info!$C$3:$U$100,6,FALSE)</f>
        <v>#N/A</v>
      </c>
      <c r="Y71" s="7" t="e">
        <f>VLOOKUP($B71,emp_info!$C$3:$U$100,7,FALSE)</f>
        <v>#N/A</v>
      </c>
      <c r="Z71" s="7" t="e">
        <f>VLOOKUP($B71,emp_info!$C$3:$U$100,8,FALSE)</f>
        <v>#N/A</v>
      </c>
      <c r="AA71" s="7" t="e">
        <f>VLOOKUP($B71,emp_info!$C$3:$U$100,11,FALSE)</f>
        <v>#N/A</v>
      </c>
      <c r="AB71" s="7" t="e">
        <f>VLOOKUP($B71,emp_info!$C$3:$U$100,12,FALSE)</f>
        <v>#N/A</v>
      </c>
      <c r="AC71" s="7" t="e">
        <f>VLOOKUP($B71,emp_info!$C$3:$U$100,13,FALSE)</f>
        <v>#N/A</v>
      </c>
      <c r="AD71" s="7" t="e">
        <f>VLOOKUP($B71,emp_info!$C$3:$U$100,14,FALSE)</f>
        <v>#N/A</v>
      </c>
      <c r="AE71" s="7" t="e">
        <f>VLOOKUP($B71,emp_info!$C$3:$U$100,15,FALSE)</f>
        <v>#N/A</v>
      </c>
      <c r="AF71" s="7" t="e">
        <f>VLOOKUP($B71,emp_info!$C$3:$U$100,16,FALSE)</f>
        <v>#N/A</v>
      </c>
      <c r="AG71" s="7" t="e">
        <f>VLOOKUP($B71,emp_info!$C$3:$U$100,17,FALSE)</f>
        <v>#N/A</v>
      </c>
      <c r="AH71" s="7" t="e">
        <f>VLOOKUP($B71,emp_info!$C$3:$U$100,18,FALSE)</f>
        <v>#N/A</v>
      </c>
      <c r="AI71" s="7" t="e">
        <f>VLOOKUP($G71,contragent!$B$3:$I$10,2,FALSE)</f>
        <v>#N/A</v>
      </c>
      <c r="AJ71" s="7" t="e">
        <f>VLOOKUP($G71,contragent!$B$3:$I$10,3,FALSE)</f>
        <v>#N/A</v>
      </c>
      <c r="AK71" s="7" t="e">
        <f>VLOOKUP($G71,contragent!$B$3:$I$10,4,FALSE)</f>
        <v>#N/A</v>
      </c>
      <c r="AL71" s="7" t="e">
        <f>VLOOKUP($G71,contragent!$B$3:$I$10,5,FALSE)</f>
        <v>#N/A</v>
      </c>
      <c r="AM71" s="7" t="e">
        <f>VLOOKUP($G71,contragent!$B$3:$I$10,6,FALSE)</f>
        <v>#N/A</v>
      </c>
      <c r="AN71" s="7" t="e">
        <f>VLOOKUP($G71,contragent!$B$3:$I$10,7,FALSE)</f>
        <v>#N/A</v>
      </c>
      <c r="AO71" s="7" t="e">
        <f>VLOOKUP($G71,contragent!$B$3:$I$10,8,FALSE)</f>
        <v>#N/A</v>
      </c>
    </row>
    <row r="72" spans="2:41" x14ac:dyDescent="0.25">
      <c r="B72" s="9"/>
      <c r="C72" s="11">
        <f t="shared" si="12"/>
        <v>0</v>
      </c>
      <c r="D72" s="9">
        <f>IFERROR(VLOOKUP($B72,emp_info!$C$3:$U$100,19,FALSE),0)</f>
        <v>0</v>
      </c>
      <c r="E72" s="15">
        <v>0</v>
      </c>
      <c r="F72" s="9" t="e">
        <f>DATEDIF(VLOOKUP(B72,emp_info!$C$3:$U$100,6,FALSE),DATE($A$10,$A$8,DAY(VLOOKUP(B72,emp_info!$C$3:$U$100,6,FALSE))),"m")+_xlfn.IFNA(VLOOKUP(B72,emp_info!$C$3:$V$100,20,FALSE),0)</f>
        <v>#N/A</v>
      </c>
      <c r="G72" s="10"/>
      <c r="H72" s="11" t="str">
        <f t="shared" si="23"/>
        <v/>
      </c>
      <c r="I72" s="17">
        <f t="shared" si="13"/>
        <v>43404</v>
      </c>
      <c r="J72" s="21">
        <f t="shared" si="14"/>
        <v>43404</v>
      </c>
      <c r="K72" s="19">
        <f t="shared" si="15"/>
        <v>43374</v>
      </c>
      <c r="L72" s="19">
        <f t="shared" si="16"/>
        <v>43404</v>
      </c>
      <c r="M72" s="18">
        <f t="shared" si="17"/>
        <v>43374</v>
      </c>
      <c r="N72" s="18">
        <f t="shared" si="18"/>
        <v>43404</v>
      </c>
      <c r="O72" s="7" t="str">
        <f t="shared" si="19"/>
        <v xml:space="preserve">Ноль </v>
      </c>
      <c r="P72" s="7" t="str">
        <f t="shared" si="20"/>
        <v>Долларов</v>
      </c>
      <c r="Q72" s="25">
        <f t="shared" si="21"/>
        <v>43417</v>
      </c>
      <c r="R72" s="26">
        <f t="shared" si="21"/>
        <v>43417</v>
      </c>
      <c r="S72" s="26">
        <f t="shared" si="22"/>
        <v>43423</v>
      </c>
      <c r="T72" s="7" t="e">
        <f>VLOOKUP($B72,emp_info!$C$3:$U$100,2,FALSE)</f>
        <v>#N/A</v>
      </c>
      <c r="U72" s="7" t="e">
        <f>VLOOKUP($B72,emp_info!$C$3:$U$100,3,FALSE)</f>
        <v>#N/A</v>
      </c>
      <c r="V72" s="25" t="e">
        <f>VLOOKUP($B72,emp_info!$C$3:$U$100,4,FALSE)</f>
        <v>#N/A</v>
      </c>
      <c r="W72" s="7" t="e">
        <f>VLOOKUP($B72,emp_info!$C$3:$U$100,5,FALSE)</f>
        <v>#N/A</v>
      </c>
      <c r="X72" s="25" t="e">
        <f>VLOOKUP($B72,emp_info!$C$3:$U$100,6,FALSE)</f>
        <v>#N/A</v>
      </c>
      <c r="Y72" s="7" t="e">
        <f>VLOOKUP($B72,emp_info!$C$3:$U$100,7,FALSE)</f>
        <v>#N/A</v>
      </c>
      <c r="Z72" s="7" t="e">
        <f>VLOOKUP($B72,emp_info!$C$3:$U$100,8,FALSE)</f>
        <v>#N/A</v>
      </c>
      <c r="AA72" s="7" t="e">
        <f>VLOOKUP($B72,emp_info!$C$3:$U$100,11,FALSE)</f>
        <v>#N/A</v>
      </c>
      <c r="AB72" s="7" t="e">
        <f>VLOOKUP($B72,emp_info!$C$3:$U$100,12,FALSE)</f>
        <v>#N/A</v>
      </c>
      <c r="AC72" s="7" t="e">
        <f>VLOOKUP($B72,emp_info!$C$3:$U$100,13,FALSE)</f>
        <v>#N/A</v>
      </c>
      <c r="AD72" s="7" t="e">
        <f>VLOOKUP($B72,emp_info!$C$3:$U$100,14,FALSE)</f>
        <v>#N/A</v>
      </c>
      <c r="AE72" s="7" t="e">
        <f>VLOOKUP($B72,emp_info!$C$3:$U$100,15,FALSE)</f>
        <v>#N/A</v>
      </c>
      <c r="AF72" s="7" t="e">
        <f>VLOOKUP($B72,emp_info!$C$3:$U$100,16,FALSE)</f>
        <v>#N/A</v>
      </c>
      <c r="AG72" s="7" t="e">
        <f>VLOOKUP($B72,emp_info!$C$3:$U$100,17,FALSE)</f>
        <v>#N/A</v>
      </c>
      <c r="AH72" s="7" t="e">
        <f>VLOOKUP($B72,emp_info!$C$3:$U$100,18,FALSE)</f>
        <v>#N/A</v>
      </c>
      <c r="AI72" s="7" t="e">
        <f>VLOOKUP($G72,contragent!$B$3:$I$10,2,FALSE)</f>
        <v>#N/A</v>
      </c>
      <c r="AJ72" s="7" t="e">
        <f>VLOOKUP($G72,contragent!$B$3:$I$10,3,FALSE)</f>
        <v>#N/A</v>
      </c>
      <c r="AK72" s="7" t="e">
        <f>VLOOKUP($G72,contragent!$B$3:$I$10,4,FALSE)</f>
        <v>#N/A</v>
      </c>
      <c r="AL72" s="7" t="e">
        <f>VLOOKUP($G72,contragent!$B$3:$I$10,5,FALSE)</f>
        <v>#N/A</v>
      </c>
      <c r="AM72" s="7" t="e">
        <f>VLOOKUP($G72,contragent!$B$3:$I$10,6,FALSE)</f>
        <v>#N/A</v>
      </c>
      <c r="AN72" s="7" t="e">
        <f>VLOOKUP($G72,contragent!$B$3:$I$10,7,FALSE)</f>
        <v>#N/A</v>
      </c>
      <c r="AO72" s="7" t="e">
        <f>VLOOKUP($G72,contragent!$B$3:$I$10,8,FALSE)</f>
        <v>#N/A</v>
      </c>
    </row>
    <row r="73" spans="2:41" x14ac:dyDescent="0.25">
      <c r="B73" s="9"/>
      <c r="C73" s="11">
        <f t="shared" si="12"/>
        <v>0</v>
      </c>
      <c r="D73" s="9">
        <f>IFERROR(VLOOKUP($B73,emp_info!$C$3:$U$100,19,FALSE),0)</f>
        <v>0</v>
      </c>
      <c r="E73" s="15">
        <v>0</v>
      </c>
      <c r="F73" s="9" t="e">
        <f>DATEDIF(VLOOKUP(B73,emp_info!$C$3:$U$100,6,FALSE),DATE($A$10,$A$8,DAY(VLOOKUP(B73,emp_info!$C$3:$U$100,6,FALSE))),"m")+_xlfn.IFNA(VLOOKUP(B73,emp_info!$C$3:$V$100,20,FALSE),0)</f>
        <v>#N/A</v>
      </c>
      <c r="G73" s="10"/>
      <c r="H73" s="11" t="str">
        <f t="shared" si="23"/>
        <v/>
      </c>
      <c r="I73" s="17">
        <f t="shared" si="13"/>
        <v>43404</v>
      </c>
      <c r="J73" s="21">
        <f t="shared" si="14"/>
        <v>43404</v>
      </c>
      <c r="K73" s="19">
        <f t="shared" si="15"/>
        <v>43374</v>
      </c>
      <c r="L73" s="19">
        <f t="shared" si="16"/>
        <v>43404</v>
      </c>
      <c r="M73" s="18">
        <f t="shared" si="17"/>
        <v>43374</v>
      </c>
      <c r="N73" s="18">
        <f t="shared" si="18"/>
        <v>43404</v>
      </c>
      <c r="O73" s="7" t="str">
        <f t="shared" si="19"/>
        <v xml:space="preserve">Ноль </v>
      </c>
      <c r="P73" s="7" t="str">
        <f t="shared" si="20"/>
        <v>Долларов</v>
      </c>
      <c r="Q73" s="25">
        <f t="shared" si="21"/>
        <v>43417</v>
      </c>
      <c r="R73" s="26">
        <f t="shared" si="21"/>
        <v>43417</v>
      </c>
      <c r="S73" s="26">
        <f t="shared" si="22"/>
        <v>43423</v>
      </c>
      <c r="T73" s="7" t="e">
        <f>VLOOKUP($B73,emp_info!$C$3:$U$100,2,FALSE)</f>
        <v>#N/A</v>
      </c>
      <c r="U73" s="7" t="e">
        <f>VLOOKUP($B73,emp_info!$C$3:$U$100,3,FALSE)</f>
        <v>#N/A</v>
      </c>
      <c r="V73" s="25" t="e">
        <f>VLOOKUP($B73,emp_info!$C$3:$U$100,4,FALSE)</f>
        <v>#N/A</v>
      </c>
      <c r="W73" s="7" t="e">
        <f>VLOOKUP($B73,emp_info!$C$3:$U$100,5,FALSE)</f>
        <v>#N/A</v>
      </c>
      <c r="X73" s="25" t="e">
        <f>VLOOKUP($B73,emp_info!$C$3:$U$100,6,FALSE)</f>
        <v>#N/A</v>
      </c>
      <c r="Y73" s="7" t="e">
        <f>VLOOKUP($B73,emp_info!$C$3:$U$100,7,FALSE)</f>
        <v>#N/A</v>
      </c>
      <c r="Z73" s="7" t="e">
        <f>VLOOKUP($B73,emp_info!$C$3:$U$100,8,FALSE)</f>
        <v>#N/A</v>
      </c>
      <c r="AA73" s="7" t="e">
        <f>VLOOKUP($B73,emp_info!$C$3:$U$100,11,FALSE)</f>
        <v>#N/A</v>
      </c>
      <c r="AB73" s="7" t="e">
        <f>VLOOKUP($B73,emp_info!$C$3:$U$100,12,FALSE)</f>
        <v>#N/A</v>
      </c>
      <c r="AC73" s="7" t="e">
        <f>VLOOKUP($B73,emp_info!$C$3:$U$100,13,FALSE)</f>
        <v>#N/A</v>
      </c>
      <c r="AD73" s="7" t="e">
        <f>VLOOKUP($B73,emp_info!$C$3:$U$100,14,FALSE)</f>
        <v>#N/A</v>
      </c>
      <c r="AE73" s="7" t="e">
        <f>VLOOKUP($B73,emp_info!$C$3:$U$100,15,FALSE)</f>
        <v>#N/A</v>
      </c>
      <c r="AF73" s="7" t="e">
        <f>VLOOKUP($B73,emp_info!$C$3:$U$100,16,FALSE)</f>
        <v>#N/A</v>
      </c>
      <c r="AG73" s="7" t="e">
        <f>VLOOKUP($B73,emp_info!$C$3:$U$100,17,FALSE)</f>
        <v>#N/A</v>
      </c>
      <c r="AH73" s="7" t="e">
        <f>VLOOKUP($B73,emp_info!$C$3:$U$100,18,FALSE)</f>
        <v>#N/A</v>
      </c>
      <c r="AI73" s="7" t="e">
        <f>VLOOKUP($G73,contragent!$B$3:$I$10,2,FALSE)</f>
        <v>#N/A</v>
      </c>
      <c r="AJ73" s="7" t="e">
        <f>VLOOKUP($G73,contragent!$B$3:$I$10,3,FALSE)</f>
        <v>#N/A</v>
      </c>
      <c r="AK73" s="7" t="e">
        <f>VLOOKUP($G73,contragent!$B$3:$I$10,4,FALSE)</f>
        <v>#N/A</v>
      </c>
      <c r="AL73" s="7" t="e">
        <f>VLOOKUP($G73,contragent!$B$3:$I$10,5,FALSE)</f>
        <v>#N/A</v>
      </c>
      <c r="AM73" s="7" t="e">
        <f>VLOOKUP($G73,contragent!$B$3:$I$10,6,FALSE)</f>
        <v>#N/A</v>
      </c>
      <c r="AN73" s="7" t="e">
        <f>VLOOKUP($G73,contragent!$B$3:$I$10,7,FALSE)</f>
        <v>#N/A</v>
      </c>
      <c r="AO73" s="7" t="e">
        <f>VLOOKUP($G73,contragent!$B$3:$I$10,8,FALSE)</f>
        <v>#N/A</v>
      </c>
    </row>
    <row r="74" spans="2:41" x14ac:dyDescent="0.25">
      <c r="B74" s="9"/>
      <c r="C74" s="11">
        <f t="shared" si="12"/>
        <v>0</v>
      </c>
      <c r="D74" s="9">
        <f>IFERROR(VLOOKUP($B74,emp_info!$C$3:$U$100,19,FALSE),0)</f>
        <v>0</v>
      </c>
      <c r="E74" s="15">
        <v>0</v>
      </c>
      <c r="F74" s="9" t="e">
        <f>DATEDIF(VLOOKUP(B74,emp_info!$C$3:$U$100,6,FALSE),DATE($A$10,$A$8,DAY(VLOOKUP(B74,emp_info!$C$3:$U$100,6,FALSE))),"m")+_xlfn.IFNA(VLOOKUP(B74,emp_info!$C$3:$V$100,20,FALSE),0)</f>
        <v>#N/A</v>
      </c>
      <c r="G74" s="10"/>
      <c r="H74" s="11" t="str">
        <f t="shared" si="23"/>
        <v/>
      </c>
      <c r="I74" s="17">
        <f t="shared" si="13"/>
        <v>43404</v>
      </c>
      <c r="J74" s="21">
        <f t="shared" si="14"/>
        <v>43404</v>
      </c>
      <c r="K74" s="19">
        <f t="shared" si="15"/>
        <v>43374</v>
      </c>
      <c r="L74" s="19">
        <f t="shared" si="16"/>
        <v>43404</v>
      </c>
      <c r="M74" s="18">
        <f t="shared" si="17"/>
        <v>43374</v>
      </c>
      <c r="N74" s="18">
        <f t="shared" si="18"/>
        <v>43404</v>
      </c>
      <c r="O74" s="7" t="str">
        <f t="shared" si="19"/>
        <v xml:space="preserve">Ноль </v>
      </c>
      <c r="P74" s="7" t="str">
        <f t="shared" si="20"/>
        <v>Долларов</v>
      </c>
      <c r="Q74" s="25">
        <f t="shared" si="21"/>
        <v>43417</v>
      </c>
      <c r="R74" s="26">
        <f t="shared" si="21"/>
        <v>43417</v>
      </c>
      <c r="S74" s="26">
        <f t="shared" si="22"/>
        <v>43423</v>
      </c>
      <c r="T74" s="7" t="e">
        <f>VLOOKUP($B74,emp_info!$C$3:$U$100,2,FALSE)</f>
        <v>#N/A</v>
      </c>
      <c r="U74" s="7" t="e">
        <f>VLOOKUP($B74,emp_info!$C$3:$U$100,3,FALSE)</f>
        <v>#N/A</v>
      </c>
      <c r="V74" s="25" t="e">
        <f>VLOOKUP($B74,emp_info!$C$3:$U$100,4,FALSE)</f>
        <v>#N/A</v>
      </c>
      <c r="W74" s="7" t="e">
        <f>VLOOKUP($B74,emp_info!$C$3:$U$100,5,FALSE)</f>
        <v>#N/A</v>
      </c>
      <c r="X74" s="25" t="e">
        <f>VLOOKUP($B74,emp_info!$C$3:$U$100,6,FALSE)</f>
        <v>#N/A</v>
      </c>
      <c r="Y74" s="7" t="e">
        <f>VLOOKUP($B74,emp_info!$C$3:$U$100,7,FALSE)</f>
        <v>#N/A</v>
      </c>
      <c r="Z74" s="7" t="e">
        <f>VLOOKUP($B74,emp_info!$C$3:$U$100,8,FALSE)</f>
        <v>#N/A</v>
      </c>
      <c r="AA74" s="7" t="e">
        <f>VLOOKUP($B74,emp_info!$C$3:$U$100,11,FALSE)</f>
        <v>#N/A</v>
      </c>
      <c r="AB74" s="7" t="e">
        <f>VLOOKUP($B74,emp_info!$C$3:$U$100,12,FALSE)</f>
        <v>#N/A</v>
      </c>
      <c r="AC74" s="7" t="e">
        <f>VLOOKUP($B74,emp_info!$C$3:$U$100,13,FALSE)</f>
        <v>#N/A</v>
      </c>
      <c r="AD74" s="7" t="e">
        <f>VLOOKUP($B74,emp_info!$C$3:$U$100,14,FALSE)</f>
        <v>#N/A</v>
      </c>
      <c r="AE74" s="7" t="e">
        <f>VLOOKUP($B74,emp_info!$C$3:$U$100,15,FALSE)</f>
        <v>#N/A</v>
      </c>
      <c r="AF74" s="7" t="e">
        <f>VLOOKUP($B74,emp_info!$C$3:$U$100,16,FALSE)</f>
        <v>#N/A</v>
      </c>
      <c r="AG74" s="7" t="e">
        <f>VLOOKUP($B74,emp_info!$C$3:$U$100,17,FALSE)</f>
        <v>#N/A</v>
      </c>
      <c r="AH74" s="7" t="e">
        <f>VLOOKUP($B74,emp_info!$C$3:$U$100,18,FALSE)</f>
        <v>#N/A</v>
      </c>
      <c r="AI74" s="7" t="e">
        <f>VLOOKUP($G74,contragent!$B$3:$I$10,2,FALSE)</f>
        <v>#N/A</v>
      </c>
      <c r="AJ74" s="7" t="e">
        <f>VLOOKUP($G74,contragent!$B$3:$I$10,3,FALSE)</f>
        <v>#N/A</v>
      </c>
      <c r="AK74" s="7" t="e">
        <f>VLOOKUP($G74,contragent!$B$3:$I$10,4,FALSE)</f>
        <v>#N/A</v>
      </c>
      <c r="AL74" s="7" t="e">
        <f>VLOOKUP($G74,contragent!$B$3:$I$10,5,FALSE)</f>
        <v>#N/A</v>
      </c>
      <c r="AM74" s="7" t="e">
        <f>VLOOKUP($G74,contragent!$B$3:$I$10,6,FALSE)</f>
        <v>#N/A</v>
      </c>
      <c r="AN74" s="7" t="e">
        <f>VLOOKUP($G74,contragent!$B$3:$I$10,7,FALSE)</f>
        <v>#N/A</v>
      </c>
      <c r="AO74" s="7" t="e">
        <f>VLOOKUP($G74,contragent!$B$3:$I$10,8,FALSE)</f>
        <v>#N/A</v>
      </c>
    </row>
    <row r="75" spans="2:41" x14ac:dyDescent="0.25">
      <c r="B75" s="9"/>
      <c r="C75" s="11">
        <f t="shared" si="12"/>
        <v>0</v>
      </c>
      <c r="D75" s="9">
        <f>IFERROR(VLOOKUP($B75,emp_info!$C$3:$U$100,19,FALSE),0)</f>
        <v>0</v>
      </c>
      <c r="E75" s="15">
        <v>0</v>
      </c>
      <c r="F75" s="9" t="e">
        <f>DATEDIF(VLOOKUP(B75,emp_info!$C$3:$U$100,6,FALSE),DATE($A$10,$A$8,DAY(VLOOKUP(B75,emp_info!$C$3:$U$100,6,FALSE))),"m")+_xlfn.IFNA(VLOOKUP(B75,emp_info!$C$3:$V$100,20,FALSE),0)</f>
        <v>#N/A</v>
      </c>
      <c r="G75" s="10"/>
      <c r="H75" s="11" t="str">
        <f t="shared" si="23"/>
        <v/>
      </c>
      <c r="I75" s="17">
        <f t="shared" si="13"/>
        <v>43404</v>
      </c>
      <c r="J75" s="21">
        <f t="shared" si="14"/>
        <v>43404</v>
      </c>
      <c r="K75" s="19">
        <f t="shared" si="15"/>
        <v>43374</v>
      </c>
      <c r="L75" s="19">
        <f t="shared" si="16"/>
        <v>43404</v>
      </c>
      <c r="M75" s="18">
        <f t="shared" si="17"/>
        <v>43374</v>
      </c>
      <c r="N75" s="18">
        <f t="shared" si="18"/>
        <v>43404</v>
      </c>
      <c r="O75" s="7" t="str">
        <f t="shared" si="19"/>
        <v xml:space="preserve">Ноль </v>
      </c>
      <c r="P75" s="7" t="str">
        <f t="shared" si="20"/>
        <v>Долларов</v>
      </c>
      <c r="Q75" s="25">
        <f t="shared" si="21"/>
        <v>43417</v>
      </c>
      <c r="R75" s="26">
        <f t="shared" si="21"/>
        <v>43417</v>
      </c>
      <c r="S75" s="26">
        <f t="shared" si="22"/>
        <v>43423</v>
      </c>
      <c r="T75" s="7" t="e">
        <f>VLOOKUP($B75,emp_info!$C$3:$U$100,2,FALSE)</f>
        <v>#N/A</v>
      </c>
      <c r="U75" s="7" t="e">
        <f>VLOOKUP($B75,emp_info!$C$3:$U$100,3,FALSE)</f>
        <v>#N/A</v>
      </c>
      <c r="V75" s="25" t="e">
        <f>VLOOKUP($B75,emp_info!$C$3:$U$100,4,FALSE)</f>
        <v>#N/A</v>
      </c>
      <c r="W75" s="7" t="e">
        <f>VLOOKUP($B75,emp_info!$C$3:$U$100,5,FALSE)</f>
        <v>#N/A</v>
      </c>
      <c r="X75" s="25" t="e">
        <f>VLOOKUP($B75,emp_info!$C$3:$U$100,6,FALSE)</f>
        <v>#N/A</v>
      </c>
      <c r="Y75" s="7" t="e">
        <f>VLOOKUP($B75,emp_info!$C$3:$U$100,7,FALSE)</f>
        <v>#N/A</v>
      </c>
      <c r="Z75" s="7" t="e">
        <f>VLOOKUP($B75,emp_info!$C$3:$U$100,8,FALSE)</f>
        <v>#N/A</v>
      </c>
      <c r="AA75" s="7" t="e">
        <f>VLOOKUP($B75,emp_info!$C$3:$U$100,11,FALSE)</f>
        <v>#N/A</v>
      </c>
      <c r="AB75" s="7" t="e">
        <f>VLOOKUP($B75,emp_info!$C$3:$U$100,12,FALSE)</f>
        <v>#N/A</v>
      </c>
      <c r="AC75" s="7" t="e">
        <f>VLOOKUP($B75,emp_info!$C$3:$U$100,13,FALSE)</f>
        <v>#N/A</v>
      </c>
      <c r="AD75" s="7" t="e">
        <f>VLOOKUP($B75,emp_info!$C$3:$U$100,14,FALSE)</f>
        <v>#N/A</v>
      </c>
      <c r="AE75" s="7" t="e">
        <f>VLOOKUP($B75,emp_info!$C$3:$U$100,15,FALSE)</f>
        <v>#N/A</v>
      </c>
      <c r="AF75" s="7" t="e">
        <f>VLOOKUP($B75,emp_info!$C$3:$U$100,16,FALSE)</f>
        <v>#N/A</v>
      </c>
      <c r="AG75" s="7" t="e">
        <f>VLOOKUP($B75,emp_info!$C$3:$U$100,17,FALSE)</f>
        <v>#N/A</v>
      </c>
      <c r="AH75" s="7" t="e">
        <f>VLOOKUP($B75,emp_info!$C$3:$U$100,18,FALSE)</f>
        <v>#N/A</v>
      </c>
      <c r="AI75" s="7" t="e">
        <f>VLOOKUP($G75,contragent!$B$3:$I$10,2,FALSE)</f>
        <v>#N/A</v>
      </c>
      <c r="AJ75" s="7" t="e">
        <f>VLOOKUP($G75,contragent!$B$3:$I$10,3,FALSE)</f>
        <v>#N/A</v>
      </c>
      <c r="AK75" s="7" t="e">
        <f>VLOOKUP($G75,contragent!$B$3:$I$10,4,FALSE)</f>
        <v>#N/A</v>
      </c>
      <c r="AL75" s="7" t="e">
        <f>VLOOKUP($G75,contragent!$B$3:$I$10,5,FALSE)</f>
        <v>#N/A</v>
      </c>
      <c r="AM75" s="7" t="e">
        <f>VLOOKUP($G75,contragent!$B$3:$I$10,6,FALSE)</f>
        <v>#N/A</v>
      </c>
      <c r="AN75" s="7" t="e">
        <f>VLOOKUP($G75,contragent!$B$3:$I$10,7,FALSE)</f>
        <v>#N/A</v>
      </c>
      <c r="AO75" s="7" t="e">
        <f>VLOOKUP($G75,contragent!$B$3:$I$10,8,FALSE)</f>
        <v>#N/A</v>
      </c>
    </row>
    <row r="76" spans="2:41" x14ac:dyDescent="0.25">
      <c r="B76" s="9"/>
      <c r="C76" s="11">
        <f t="shared" si="12"/>
        <v>0</v>
      </c>
      <c r="D76" s="9">
        <f>IFERROR(VLOOKUP($B76,emp_info!$C$3:$U$100,19,FALSE),0)</f>
        <v>0</v>
      </c>
      <c r="E76" s="15">
        <v>0</v>
      </c>
      <c r="F76" s="9" t="e">
        <f>DATEDIF(VLOOKUP(B76,emp_info!$C$3:$U$100,6,FALSE),DATE($A$10,$A$8,DAY(VLOOKUP(B76,emp_info!$C$3:$U$100,6,FALSE))),"m")+_xlfn.IFNA(VLOOKUP(B76,emp_info!$C$3:$V$100,20,FALSE),0)</f>
        <v>#N/A</v>
      </c>
      <c r="G76" s="10"/>
      <c r="H76" s="11" t="str">
        <f t="shared" si="23"/>
        <v/>
      </c>
      <c r="I76" s="17">
        <f t="shared" si="13"/>
        <v>43404</v>
      </c>
      <c r="J76" s="21">
        <f t="shared" si="14"/>
        <v>43404</v>
      </c>
      <c r="K76" s="19">
        <f t="shared" si="15"/>
        <v>43374</v>
      </c>
      <c r="L76" s="19">
        <f t="shared" si="16"/>
        <v>43404</v>
      </c>
      <c r="M76" s="18">
        <f t="shared" si="17"/>
        <v>43374</v>
      </c>
      <c r="N76" s="18">
        <f t="shared" si="18"/>
        <v>43404</v>
      </c>
      <c r="O76" s="7" t="str">
        <f t="shared" si="19"/>
        <v xml:space="preserve">Ноль </v>
      </c>
      <c r="P76" s="7" t="str">
        <f t="shared" si="20"/>
        <v>Долларов</v>
      </c>
      <c r="Q76" s="25">
        <f t="shared" si="21"/>
        <v>43417</v>
      </c>
      <c r="R76" s="26">
        <f t="shared" si="21"/>
        <v>43417</v>
      </c>
      <c r="S76" s="26">
        <f t="shared" si="22"/>
        <v>43423</v>
      </c>
      <c r="T76" s="7" t="e">
        <f>VLOOKUP($B76,emp_info!$C$3:$U$100,2,FALSE)</f>
        <v>#N/A</v>
      </c>
      <c r="U76" s="7" t="e">
        <f>VLOOKUP($B76,emp_info!$C$3:$U$100,3,FALSE)</f>
        <v>#N/A</v>
      </c>
      <c r="V76" s="25" t="e">
        <f>VLOOKUP($B76,emp_info!$C$3:$U$100,4,FALSE)</f>
        <v>#N/A</v>
      </c>
      <c r="W76" s="7" t="e">
        <f>VLOOKUP($B76,emp_info!$C$3:$U$100,5,FALSE)</f>
        <v>#N/A</v>
      </c>
      <c r="X76" s="25" t="e">
        <f>VLOOKUP($B76,emp_info!$C$3:$U$100,6,FALSE)</f>
        <v>#N/A</v>
      </c>
      <c r="Y76" s="7" t="e">
        <f>VLOOKUP($B76,emp_info!$C$3:$U$100,7,FALSE)</f>
        <v>#N/A</v>
      </c>
      <c r="Z76" s="7" t="e">
        <f>VLOOKUP($B76,emp_info!$C$3:$U$100,8,FALSE)</f>
        <v>#N/A</v>
      </c>
      <c r="AA76" s="7" t="e">
        <f>VLOOKUP($B76,emp_info!$C$3:$U$100,11,FALSE)</f>
        <v>#N/A</v>
      </c>
      <c r="AB76" s="7" t="e">
        <f>VLOOKUP($B76,emp_info!$C$3:$U$100,12,FALSE)</f>
        <v>#N/A</v>
      </c>
      <c r="AC76" s="7" t="e">
        <f>VLOOKUP($B76,emp_info!$C$3:$U$100,13,FALSE)</f>
        <v>#N/A</v>
      </c>
      <c r="AD76" s="7" t="e">
        <f>VLOOKUP($B76,emp_info!$C$3:$U$100,14,FALSE)</f>
        <v>#N/A</v>
      </c>
      <c r="AE76" s="7" t="e">
        <f>VLOOKUP($B76,emp_info!$C$3:$U$100,15,FALSE)</f>
        <v>#N/A</v>
      </c>
      <c r="AF76" s="7" t="e">
        <f>VLOOKUP($B76,emp_info!$C$3:$U$100,16,FALSE)</f>
        <v>#N/A</v>
      </c>
      <c r="AG76" s="7" t="e">
        <f>VLOOKUP($B76,emp_info!$C$3:$U$100,17,FALSE)</f>
        <v>#N/A</v>
      </c>
      <c r="AH76" s="7" t="e">
        <f>VLOOKUP($B76,emp_info!$C$3:$U$100,18,FALSE)</f>
        <v>#N/A</v>
      </c>
      <c r="AI76" s="7" t="e">
        <f>VLOOKUP($G76,contragent!$B$3:$I$10,2,FALSE)</f>
        <v>#N/A</v>
      </c>
      <c r="AJ76" s="7" t="e">
        <f>VLOOKUP($G76,contragent!$B$3:$I$10,3,FALSE)</f>
        <v>#N/A</v>
      </c>
      <c r="AK76" s="7" t="e">
        <f>VLOOKUP($G76,contragent!$B$3:$I$10,4,FALSE)</f>
        <v>#N/A</v>
      </c>
      <c r="AL76" s="7" t="e">
        <f>VLOOKUP($G76,contragent!$B$3:$I$10,5,FALSE)</f>
        <v>#N/A</v>
      </c>
      <c r="AM76" s="7" t="e">
        <f>VLOOKUP($G76,contragent!$B$3:$I$10,6,FALSE)</f>
        <v>#N/A</v>
      </c>
      <c r="AN76" s="7" t="e">
        <f>VLOOKUP($G76,contragent!$B$3:$I$10,7,FALSE)</f>
        <v>#N/A</v>
      </c>
      <c r="AO76" s="7" t="e">
        <f>VLOOKUP($G76,contragent!$B$3:$I$10,8,FALSE)</f>
        <v>#N/A</v>
      </c>
    </row>
    <row r="77" spans="2:41" x14ac:dyDescent="0.25">
      <c r="B77" s="9"/>
      <c r="C77" s="11">
        <f t="shared" si="12"/>
        <v>0</v>
      </c>
      <c r="D77" s="9">
        <f>IFERROR(VLOOKUP($B77,emp_info!$C$3:$U$100,19,FALSE),0)</f>
        <v>0</v>
      </c>
      <c r="E77" s="15">
        <v>0</v>
      </c>
      <c r="F77" s="9" t="e">
        <f>DATEDIF(VLOOKUP(B77,emp_info!$C$3:$U$100,6,FALSE),DATE($A$10,$A$8,DAY(VLOOKUP(B77,emp_info!$C$3:$U$100,6,FALSE))),"m")+_xlfn.IFNA(VLOOKUP(B77,emp_info!$C$3:$V$100,20,FALSE),0)</f>
        <v>#N/A</v>
      </c>
      <c r="G77" s="10"/>
      <c r="H77" s="11" t="str">
        <f t="shared" si="23"/>
        <v/>
      </c>
      <c r="I77" s="17">
        <f t="shared" si="13"/>
        <v>43404</v>
      </c>
      <c r="J77" s="21">
        <f t="shared" si="14"/>
        <v>43404</v>
      </c>
      <c r="K77" s="19">
        <f t="shared" si="15"/>
        <v>43374</v>
      </c>
      <c r="L77" s="19">
        <f t="shared" si="16"/>
        <v>43404</v>
      </c>
      <c r="M77" s="18">
        <f t="shared" si="17"/>
        <v>43374</v>
      </c>
      <c r="N77" s="18">
        <f t="shared" si="18"/>
        <v>43404</v>
      </c>
      <c r="O77" s="7" t="str">
        <f t="shared" si="19"/>
        <v xml:space="preserve">Ноль </v>
      </c>
      <c r="P77" s="7" t="str">
        <f t="shared" si="20"/>
        <v>Долларов</v>
      </c>
      <c r="Q77" s="25">
        <f t="shared" si="21"/>
        <v>43417</v>
      </c>
      <c r="R77" s="26">
        <f t="shared" si="21"/>
        <v>43417</v>
      </c>
      <c r="S77" s="26">
        <f t="shared" si="22"/>
        <v>43423</v>
      </c>
      <c r="T77" s="7" t="e">
        <f>VLOOKUP($B77,emp_info!$C$3:$U$100,2,FALSE)</f>
        <v>#N/A</v>
      </c>
      <c r="U77" s="7" t="e">
        <f>VLOOKUP($B77,emp_info!$C$3:$U$100,3,FALSE)</f>
        <v>#N/A</v>
      </c>
      <c r="V77" s="25" t="e">
        <f>VLOOKUP($B77,emp_info!$C$3:$U$100,4,FALSE)</f>
        <v>#N/A</v>
      </c>
      <c r="W77" s="7" t="e">
        <f>VLOOKUP($B77,emp_info!$C$3:$U$100,5,FALSE)</f>
        <v>#N/A</v>
      </c>
      <c r="X77" s="25" t="e">
        <f>VLOOKUP($B77,emp_info!$C$3:$U$100,6,FALSE)</f>
        <v>#N/A</v>
      </c>
      <c r="Y77" s="7" t="e">
        <f>VLOOKUP($B77,emp_info!$C$3:$U$100,7,FALSE)</f>
        <v>#N/A</v>
      </c>
      <c r="Z77" s="7" t="e">
        <f>VLOOKUP($B77,emp_info!$C$3:$U$100,8,FALSE)</f>
        <v>#N/A</v>
      </c>
      <c r="AA77" s="7" t="e">
        <f>VLOOKUP($B77,emp_info!$C$3:$U$100,11,FALSE)</f>
        <v>#N/A</v>
      </c>
      <c r="AB77" s="7" t="e">
        <f>VLOOKUP($B77,emp_info!$C$3:$U$100,12,FALSE)</f>
        <v>#N/A</v>
      </c>
      <c r="AC77" s="7" t="e">
        <f>VLOOKUP($B77,emp_info!$C$3:$U$100,13,FALSE)</f>
        <v>#N/A</v>
      </c>
      <c r="AD77" s="7" t="e">
        <f>VLOOKUP($B77,emp_info!$C$3:$U$100,14,FALSE)</f>
        <v>#N/A</v>
      </c>
      <c r="AE77" s="7" t="e">
        <f>VLOOKUP($B77,emp_info!$C$3:$U$100,15,FALSE)</f>
        <v>#N/A</v>
      </c>
      <c r="AF77" s="7" t="e">
        <f>VLOOKUP($B77,emp_info!$C$3:$U$100,16,FALSE)</f>
        <v>#N/A</v>
      </c>
      <c r="AG77" s="7" t="e">
        <f>VLOOKUP($B77,emp_info!$C$3:$U$100,17,FALSE)</f>
        <v>#N/A</v>
      </c>
      <c r="AH77" s="7" t="e">
        <f>VLOOKUP($B77,emp_info!$C$3:$U$100,18,FALSE)</f>
        <v>#N/A</v>
      </c>
      <c r="AI77" s="7" t="e">
        <f>VLOOKUP($G77,contragent!$B$3:$I$10,2,FALSE)</f>
        <v>#N/A</v>
      </c>
      <c r="AJ77" s="7" t="e">
        <f>VLOOKUP($G77,contragent!$B$3:$I$10,3,FALSE)</f>
        <v>#N/A</v>
      </c>
      <c r="AK77" s="7" t="e">
        <f>VLOOKUP($G77,contragent!$B$3:$I$10,4,FALSE)</f>
        <v>#N/A</v>
      </c>
      <c r="AL77" s="7" t="e">
        <f>VLOOKUP($G77,contragent!$B$3:$I$10,5,FALSE)</f>
        <v>#N/A</v>
      </c>
      <c r="AM77" s="7" t="e">
        <f>VLOOKUP($G77,contragent!$B$3:$I$10,6,FALSE)</f>
        <v>#N/A</v>
      </c>
      <c r="AN77" s="7" t="e">
        <f>VLOOKUP($G77,contragent!$B$3:$I$10,7,FALSE)</f>
        <v>#N/A</v>
      </c>
      <c r="AO77" s="7" t="e">
        <f>VLOOKUP($G77,contragent!$B$3:$I$10,8,FALSE)</f>
        <v>#N/A</v>
      </c>
    </row>
    <row r="78" spans="2:41" x14ac:dyDescent="0.25">
      <c r="B78" s="9"/>
      <c r="C78" s="11">
        <f t="shared" si="12"/>
        <v>0</v>
      </c>
      <c r="D78" s="9">
        <f>IFERROR(VLOOKUP($B78,emp_info!$C$3:$U$100,19,FALSE),0)</f>
        <v>0</v>
      </c>
      <c r="E78" s="15">
        <v>0</v>
      </c>
      <c r="F78" s="9" t="e">
        <f>DATEDIF(VLOOKUP(B78,emp_info!$C$3:$U$100,6,FALSE),DATE($A$10,$A$8,DAY(VLOOKUP(B78,emp_info!$C$3:$U$100,6,FALSE))),"m")+_xlfn.IFNA(VLOOKUP(B78,emp_info!$C$3:$V$100,20,FALSE),0)</f>
        <v>#N/A</v>
      </c>
      <c r="G78" s="10"/>
      <c r="H78" s="11" t="str">
        <f t="shared" si="23"/>
        <v/>
      </c>
      <c r="I78" s="17">
        <f t="shared" si="13"/>
        <v>43404</v>
      </c>
      <c r="J78" s="21">
        <f t="shared" si="14"/>
        <v>43404</v>
      </c>
      <c r="K78" s="19">
        <f t="shared" si="15"/>
        <v>43374</v>
      </c>
      <c r="L78" s="19">
        <f t="shared" si="16"/>
        <v>43404</v>
      </c>
      <c r="M78" s="18">
        <f t="shared" si="17"/>
        <v>43374</v>
      </c>
      <c r="N78" s="18">
        <f t="shared" si="18"/>
        <v>43404</v>
      </c>
      <c r="O78" s="7" t="str">
        <f t="shared" si="19"/>
        <v xml:space="preserve">Ноль </v>
      </c>
      <c r="P78" s="7" t="str">
        <f t="shared" si="20"/>
        <v>Долларов</v>
      </c>
      <c r="Q78" s="25">
        <f t="shared" si="21"/>
        <v>43417</v>
      </c>
      <c r="R78" s="26">
        <f t="shared" si="21"/>
        <v>43417</v>
      </c>
      <c r="S78" s="26">
        <f t="shared" si="22"/>
        <v>43423</v>
      </c>
      <c r="T78" s="7" t="e">
        <f>VLOOKUP($B78,emp_info!$C$3:$U$100,2,FALSE)</f>
        <v>#N/A</v>
      </c>
      <c r="U78" s="7" t="e">
        <f>VLOOKUP($B78,emp_info!$C$3:$U$100,3,FALSE)</f>
        <v>#N/A</v>
      </c>
      <c r="V78" s="25" t="e">
        <f>VLOOKUP($B78,emp_info!$C$3:$U$100,4,FALSE)</f>
        <v>#N/A</v>
      </c>
      <c r="W78" s="7" t="e">
        <f>VLOOKUP($B78,emp_info!$C$3:$U$100,5,FALSE)</f>
        <v>#N/A</v>
      </c>
      <c r="X78" s="25" t="e">
        <f>VLOOKUP($B78,emp_info!$C$3:$U$100,6,FALSE)</f>
        <v>#N/A</v>
      </c>
      <c r="Y78" s="7" t="e">
        <f>VLOOKUP($B78,emp_info!$C$3:$U$100,7,FALSE)</f>
        <v>#N/A</v>
      </c>
      <c r="Z78" s="7" t="e">
        <f>VLOOKUP($B78,emp_info!$C$3:$U$100,8,FALSE)</f>
        <v>#N/A</v>
      </c>
      <c r="AA78" s="7" t="e">
        <f>VLOOKUP($B78,emp_info!$C$3:$U$100,11,FALSE)</f>
        <v>#N/A</v>
      </c>
      <c r="AB78" s="7" t="e">
        <f>VLOOKUP($B78,emp_info!$C$3:$U$100,12,FALSE)</f>
        <v>#N/A</v>
      </c>
      <c r="AC78" s="7" t="e">
        <f>VLOOKUP($B78,emp_info!$C$3:$U$100,13,FALSE)</f>
        <v>#N/A</v>
      </c>
      <c r="AD78" s="7" t="e">
        <f>VLOOKUP($B78,emp_info!$C$3:$U$100,14,FALSE)</f>
        <v>#N/A</v>
      </c>
      <c r="AE78" s="7" t="e">
        <f>VLOOKUP($B78,emp_info!$C$3:$U$100,15,FALSE)</f>
        <v>#N/A</v>
      </c>
      <c r="AF78" s="7" t="e">
        <f>VLOOKUP($B78,emp_info!$C$3:$U$100,16,FALSE)</f>
        <v>#N/A</v>
      </c>
      <c r="AG78" s="7" t="e">
        <f>VLOOKUP($B78,emp_info!$C$3:$U$100,17,FALSE)</f>
        <v>#N/A</v>
      </c>
      <c r="AH78" s="7" t="e">
        <f>VLOOKUP($B78,emp_info!$C$3:$U$100,18,FALSE)</f>
        <v>#N/A</v>
      </c>
      <c r="AI78" s="7" t="e">
        <f>VLOOKUP($G78,contragent!$B$3:$I$10,2,FALSE)</f>
        <v>#N/A</v>
      </c>
      <c r="AJ78" s="7" t="e">
        <f>VLOOKUP($G78,contragent!$B$3:$I$10,3,FALSE)</f>
        <v>#N/A</v>
      </c>
      <c r="AK78" s="7" t="e">
        <f>VLOOKUP($G78,contragent!$B$3:$I$10,4,FALSE)</f>
        <v>#N/A</v>
      </c>
      <c r="AL78" s="7" t="e">
        <f>VLOOKUP($G78,contragent!$B$3:$I$10,5,FALSE)</f>
        <v>#N/A</v>
      </c>
      <c r="AM78" s="7" t="e">
        <f>VLOOKUP($G78,contragent!$B$3:$I$10,6,FALSE)</f>
        <v>#N/A</v>
      </c>
      <c r="AN78" s="7" t="e">
        <f>VLOOKUP($G78,contragent!$B$3:$I$10,7,FALSE)</f>
        <v>#N/A</v>
      </c>
      <c r="AO78" s="7" t="e">
        <f>VLOOKUP($G78,contragent!$B$3:$I$10,8,FALSE)</f>
        <v>#N/A</v>
      </c>
    </row>
    <row r="79" spans="2:41" x14ac:dyDescent="0.25">
      <c r="B79" s="9"/>
      <c r="C79" s="11">
        <f t="shared" si="12"/>
        <v>0</v>
      </c>
      <c r="D79" s="9">
        <f>IFERROR(VLOOKUP($B79,emp_info!$C$3:$U$100,19,FALSE),0)</f>
        <v>0</v>
      </c>
      <c r="E79" s="15">
        <v>0</v>
      </c>
      <c r="F79" s="9" t="e">
        <f>DATEDIF(VLOOKUP(B79,emp_info!$C$3:$U$100,6,FALSE),DATE($A$10,$A$8,DAY(VLOOKUP(B79,emp_info!$C$3:$U$100,6,FALSE))),"m")+_xlfn.IFNA(VLOOKUP(B79,emp_info!$C$3:$V$100,20,FALSE),0)</f>
        <v>#N/A</v>
      </c>
      <c r="G79" s="10"/>
      <c r="H79" s="11" t="str">
        <f t="shared" si="23"/>
        <v/>
      </c>
      <c r="I79" s="17">
        <f t="shared" si="13"/>
        <v>43404</v>
      </c>
      <c r="J79" s="21">
        <f t="shared" si="14"/>
        <v>43404</v>
      </c>
      <c r="K79" s="19">
        <f t="shared" si="15"/>
        <v>43374</v>
      </c>
      <c r="L79" s="19">
        <f t="shared" si="16"/>
        <v>43404</v>
      </c>
      <c r="M79" s="18">
        <f t="shared" si="17"/>
        <v>43374</v>
      </c>
      <c r="N79" s="18">
        <f t="shared" si="18"/>
        <v>43404</v>
      </c>
      <c r="O79" s="7" t="str">
        <f t="shared" si="19"/>
        <v xml:space="preserve">Ноль </v>
      </c>
      <c r="P79" s="7" t="str">
        <f t="shared" si="20"/>
        <v>Долларов</v>
      </c>
      <c r="Q79" s="25">
        <f t="shared" si="21"/>
        <v>43417</v>
      </c>
      <c r="R79" s="26">
        <f t="shared" si="21"/>
        <v>43417</v>
      </c>
      <c r="S79" s="26">
        <f t="shared" si="22"/>
        <v>43423</v>
      </c>
      <c r="T79" s="7" t="e">
        <f>VLOOKUP($B79,emp_info!$C$3:$U$100,2,FALSE)</f>
        <v>#N/A</v>
      </c>
      <c r="U79" s="7" t="e">
        <f>VLOOKUP($B79,emp_info!$C$3:$U$100,3,FALSE)</f>
        <v>#N/A</v>
      </c>
      <c r="V79" s="25" t="e">
        <f>VLOOKUP($B79,emp_info!$C$3:$U$100,4,FALSE)</f>
        <v>#N/A</v>
      </c>
      <c r="W79" s="7" t="e">
        <f>VLOOKUP($B79,emp_info!$C$3:$U$100,5,FALSE)</f>
        <v>#N/A</v>
      </c>
      <c r="X79" s="25" t="e">
        <f>VLOOKUP($B79,emp_info!$C$3:$U$100,6,FALSE)</f>
        <v>#N/A</v>
      </c>
      <c r="Y79" s="7" t="e">
        <f>VLOOKUP($B79,emp_info!$C$3:$U$100,7,FALSE)</f>
        <v>#N/A</v>
      </c>
      <c r="Z79" s="7" t="e">
        <f>VLOOKUP($B79,emp_info!$C$3:$U$100,8,FALSE)</f>
        <v>#N/A</v>
      </c>
      <c r="AA79" s="7" t="e">
        <f>VLOOKUP($B79,emp_info!$C$3:$U$100,11,FALSE)</f>
        <v>#N/A</v>
      </c>
      <c r="AB79" s="7" t="e">
        <f>VLOOKUP($B79,emp_info!$C$3:$U$100,12,FALSE)</f>
        <v>#N/A</v>
      </c>
      <c r="AC79" s="7" t="e">
        <f>VLOOKUP($B79,emp_info!$C$3:$U$100,13,FALSE)</f>
        <v>#N/A</v>
      </c>
      <c r="AD79" s="7" t="e">
        <f>VLOOKUP($B79,emp_info!$C$3:$U$100,14,FALSE)</f>
        <v>#N/A</v>
      </c>
      <c r="AE79" s="7" t="e">
        <f>VLOOKUP($B79,emp_info!$C$3:$U$100,15,FALSE)</f>
        <v>#N/A</v>
      </c>
      <c r="AF79" s="7" t="e">
        <f>VLOOKUP($B79,emp_info!$C$3:$U$100,16,FALSE)</f>
        <v>#N/A</v>
      </c>
      <c r="AG79" s="7" t="e">
        <f>VLOOKUP($B79,emp_info!$C$3:$U$100,17,FALSE)</f>
        <v>#N/A</v>
      </c>
      <c r="AH79" s="7" t="e">
        <f>VLOOKUP($B79,emp_info!$C$3:$U$100,18,FALSE)</f>
        <v>#N/A</v>
      </c>
      <c r="AI79" s="7" t="e">
        <f>VLOOKUP($G79,contragent!$B$3:$I$10,2,FALSE)</f>
        <v>#N/A</v>
      </c>
      <c r="AJ79" s="7" t="e">
        <f>VLOOKUP($G79,contragent!$B$3:$I$10,3,FALSE)</f>
        <v>#N/A</v>
      </c>
      <c r="AK79" s="7" t="e">
        <f>VLOOKUP($G79,contragent!$B$3:$I$10,4,FALSE)</f>
        <v>#N/A</v>
      </c>
      <c r="AL79" s="7" t="e">
        <f>VLOOKUP($G79,contragent!$B$3:$I$10,5,FALSE)</f>
        <v>#N/A</v>
      </c>
      <c r="AM79" s="7" t="e">
        <f>VLOOKUP($G79,contragent!$B$3:$I$10,6,FALSE)</f>
        <v>#N/A</v>
      </c>
      <c r="AN79" s="7" t="e">
        <f>VLOOKUP($G79,contragent!$B$3:$I$10,7,FALSE)</f>
        <v>#N/A</v>
      </c>
      <c r="AO79" s="7" t="e">
        <f>VLOOKUP($G79,contragent!$B$3:$I$10,8,FALSE)</f>
        <v>#N/A</v>
      </c>
    </row>
    <row r="80" spans="2:41" x14ac:dyDescent="0.25">
      <c r="B80" s="9"/>
      <c r="C80" s="11">
        <f t="shared" si="12"/>
        <v>0</v>
      </c>
      <c r="D80" s="9">
        <f>IFERROR(VLOOKUP($B80,emp_info!$C$3:$U$100,19,FALSE),0)</f>
        <v>0</v>
      </c>
      <c r="E80" s="15">
        <v>0</v>
      </c>
      <c r="F80" s="9" t="e">
        <f>DATEDIF(VLOOKUP(B80,emp_info!$C$3:$U$100,6,FALSE),DATE($A$10,$A$8,DAY(VLOOKUP(B80,emp_info!$C$3:$U$100,6,FALSE))),"m")+_xlfn.IFNA(VLOOKUP(B80,emp_info!$C$3:$V$100,20,FALSE),0)</f>
        <v>#N/A</v>
      </c>
      <c r="G80" s="10"/>
      <c r="H80" s="11" t="str">
        <f t="shared" si="23"/>
        <v/>
      </c>
      <c r="I80" s="17">
        <f t="shared" si="13"/>
        <v>43404</v>
      </c>
      <c r="J80" s="21">
        <f t="shared" si="14"/>
        <v>43404</v>
      </c>
      <c r="K80" s="19">
        <f t="shared" si="15"/>
        <v>43374</v>
      </c>
      <c r="L80" s="19">
        <f t="shared" si="16"/>
        <v>43404</v>
      </c>
      <c r="M80" s="18">
        <f t="shared" si="17"/>
        <v>43374</v>
      </c>
      <c r="N80" s="18">
        <f t="shared" si="18"/>
        <v>43404</v>
      </c>
      <c r="O80" s="7" t="str">
        <f t="shared" si="19"/>
        <v xml:space="preserve">Ноль </v>
      </c>
      <c r="P80" s="7" t="str">
        <f t="shared" si="20"/>
        <v>Долларов</v>
      </c>
      <c r="Q80" s="25">
        <f t="shared" si="21"/>
        <v>43417</v>
      </c>
      <c r="R80" s="26">
        <f t="shared" si="21"/>
        <v>43417</v>
      </c>
      <c r="S80" s="26">
        <f t="shared" si="22"/>
        <v>43423</v>
      </c>
      <c r="T80" s="7" t="e">
        <f>VLOOKUP($B80,emp_info!$C$3:$U$100,2,FALSE)</f>
        <v>#N/A</v>
      </c>
      <c r="U80" s="7" t="e">
        <f>VLOOKUP($B80,emp_info!$C$3:$U$100,3,FALSE)</f>
        <v>#N/A</v>
      </c>
      <c r="V80" s="25" t="e">
        <f>VLOOKUP($B80,emp_info!$C$3:$U$100,4,FALSE)</f>
        <v>#N/A</v>
      </c>
      <c r="W80" s="7" t="e">
        <f>VLOOKUP($B80,emp_info!$C$3:$U$100,5,FALSE)</f>
        <v>#N/A</v>
      </c>
      <c r="X80" s="25" t="e">
        <f>VLOOKUP($B80,emp_info!$C$3:$U$100,6,FALSE)</f>
        <v>#N/A</v>
      </c>
      <c r="Y80" s="7" t="e">
        <f>VLOOKUP($B80,emp_info!$C$3:$U$100,7,FALSE)</f>
        <v>#N/A</v>
      </c>
      <c r="Z80" s="7" t="e">
        <f>VLOOKUP($B80,emp_info!$C$3:$U$100,8,FALSE)</f>
        <v>#N/A</v>
      </c>
      <c r="AA80" s="7" t="e">
        <f>VLOOKUP($B80,emp_info!$C$3:$U$100,11,FALSE)</f>
        <v>#N/A</v>
      </c>
      <c r="AB80" s="7" t="e">
        <f>VLOOKUP($B80,emp_info!$C$3:$U$100,12,FALSE)</f>
        <v>#N/A</v>
      </c>
      <c r="AC80" s="7" t="e">
        <f>VLOOKUP($B80,emp_info!$C$3:$U$100,13,FALSE)</f>
        <v>#N/A</v>
      </c>
      <c r="AD80" s="7" t="e">
        <f>VLOOKUP($B80,emp_info!$C$3:$U$100,14,FALSE)</f>
        <v>#N/A</v>
      </c>
      <c r="AE80" s="7" t="e">
        <f>VLOOKUP($B80,emp_info!$C$3:$U$100,15,FALSE)</f>
        <v>#N/A</v>
      </c>
      <c r="AF80" s="7" t="e">
        <f>VLOOKUP($B80,emp_info!$C$3:$U$100,16,FALSE)</f>
        <v>#N/A</v>
      </c>
      <c r="AG80" s="7" t="e">
        <f>VLOOKUP($B80,emp_info!$C$3:$U$100,17,FALSE)</f>
        <v>#N/A</v>
      </c>
      <c r="AH80" s="7" t="e">
        <f>VLOOKUP($B80,emp_info!$C$3:$U$100,18,FALSE)</f>
        <v>#N/A</v>
      </c>
      <c r="AI80" s="7" t="e">
        <f>VLOOKUP($G80,contragent!$B$3:$I$10,2,FALSE)</f>
        <v>#N/A</v>
      </c>
      <c r="AJ80" s="7" t="e">
        <f>VLOOKUP($G80,contragent!$B$3:$I$10,3,FALSE)</f>
        <v>#N/A</v>
      </c>
      <c r="AK80" s="7" t="e">
        <f>VLOOKUP($G80,contragent!$B$3:$I$10,4,FALSE)</f>
        <v>#N/A</v>
      </c>
      <c r="AL80" s="7" t="e">
        <f>VLOOKUP($G80,contragent!$B$3:$I$10,5,FALSE)</f>
        <v>#N/A</v>
      </c>
      <c r="AM80" s="7" t="e">
        <f>VLOOKUP($G80,contragent!$B$3:$I$10,6,FALSE)</f>
        <v>#N/A</v>
      </c>
      <c r="AN80" s="7" t="e">
        <f>VLOOKUP($G80,contragent!$B$3:$I$10,7,FALSE)</f>
        <v>#N/A</v>
      </c>
      <c r="AO80" s="7" t="e">
        <f>VLOOKUP($G80,contragent!$B$3:$I$10,8,FALSE)</f>
        <v>#N/A</v>
      </c>
    </row>
    <row r="81" spans="2:41" x14ac:dyDescent="0.25">
      <c r="B81" s="9"/>
      <c r="C81" s="11">
        <f t="shared" si="12"/>
        <v>0</v>
      </c>
      <c r="D81" s="9">
        <f>IFERROR(VLOOKUP($B81,emp_info!$C$3:$U$100,19,FALSE),0)</f>
        <v>0</v>
      </c>
      <c r="E81" s="15">
        <v>0</v>
      </c>
      <c r="F81" s="9" t="e">
        <f>DATEDIF(VLOOKUP(B81,emp_info!$C$3:$U$100,6,FALSE),DATE($A$10,$A$8,DAY(VLOOKUP(B81,emp_info!$C$3:$U$100,6,FALSE))),"m")+_xlfn.IFNA(VLOOKUP(B81,emp_info!$C$3:$V$100,20,FALSE),0)</f>
        <v>#N/A</v>
      </c>
      <c r="G81" s="10"/>
      <c r="H81" s="11" t="str">
        <f t="shared" si="23"/>
        <v/>
      </c>
      <c r="I81" s="17">
        <f t="shared" si="13"/>
        <v>43404</v>
      </c>
      <c r="J81" s="21">
        <f t="shared" si="14"/>
        <v>43404</v>
      </c>
      <c r="K81" s="19">
        <f t="shared" si="15"/>
        <v>43374</v>
      </c>
      <c r="L81" s="19">
        <f t="shared" si="16"/>
        <v>43404</v>
      </c>
      <c r="M81" s="18">
        <f t="shared" si="17"/>
        <v>43374</v>
      </c>
      <c r="N81" s="18">
        <f t="shared" si="18"/>
        <v>43404</v>
      </c>
      <c r="O81" s="7" t="str">
        <f t="shared" si="19"/>
        <v xml:space="preserve">Ноль </v>
      </c>
      <c r="P81" s="7" t="str">
        <f t="shared" si="20"/>
        <v>Долларов</v>
      </c>
      <c r="Q81" s="25">
        <f t="shared" si="21"/>
        <v>43417</v>
      </c>
      <c r="R81" s="26">
        <f t="shared" si="21"/>
        <v>43417</v>
      </c>
      <c r="S81" s="26">
        <f t="shared" si="22"/>
        <v>43423</v>
      </c>
      <c r="T81" s="7" t="e">
        <f>VLOOKUP($B81,emp_info!$C$3:$U$100,2,FALSE)</f>
        <v>#N/A</v>
      </c>
      <c r="U81" s="7" t="e">
        <f>VLOOKUP($B81,emp_info!$C$3:$U$100,3,FALSE)</f>
        <v>#N/A</v>
      </c>
      <c r="V81" s="25" t="e">
        <f>VLOOKUP($B81,emp_info!$C$3:$U$100,4,FALSE)</f>
        <v>#N/A</v>
      </c>
      <c r="W81" s="7" t="e">
        <f>VLOOKUP($B81,emp_info!$C$3:$U$100,5,FALSE)</f>
        <v>#N/A</v>
      </c>
      <c r="X81" s="25" t="e">
        <f>VLOOKUP($B81,emp_info!$C$3:$U$100,6,FALSE)</f>
        <v>#N/A</v>
      </c>
      <c r="Y81" s="7" t="e">
        <f>VLOOKUP($B81,emp_info!$C$3:$U$100,7,FALSE)</f>
        <v>#N/A</v>
      </c>
      <c r="Z81" s="7" t="e">
        <f>VLOOKUP($B81,emp_info!$C$3:$U$100,8,FALSE)</f>
        <v>#N/A</v>
      </c>
      <c r="AA81" s="7" t="e">
        <f>VLOOKUP($B81,emp_info!$C$3:$U$100,11,FALSE)</f>
        <v>#N/A</v>
      </c>
      <c r="AB81" s="7" t="e">
        <f>VLOOKUP($B81,emp_info!$C$3:$U$100,12,FALSE)</f>
        <v>#N/A</v>
      </c>
      <c r="AC81" s="7" t="e">
        <f>VLOOKUP($B81,emp_info!$C$3:$U$100,13,FALSE)</f>
        <v>#N/A</v>
      </c>
      <c r="AD81" s="7" t="e">
        <f>VLOOKUP($B81,emp_info!$C$3:$U$100,14,FALSE)</f>
        <v>#N/A</v>
      </c>
      <c r="AE81" s="7" t="e">
        <f>VLOOKUP($B81,emp_info!$C$3:$U$100,15,FALSE)</f>
        <v>#N/A</v>
      </c>
      <c r="AF81" s="7" t="e">
        <f>VLOOKUP($B81,emp_info!$C$3:$U$100,16,FALSE)</f>
        <v>#N/A</v>
      </c>
      <c r="AG81" s="7" t="e">
        <f>VLOOKUP($B81,emp_info!$C$3:$U$100,17,FALSE)</f>
        <v>#N/A</v>
      </c>
      <c r="AH81" s="7" t="e">
        <f>VLOOKUP($B81,emp_info!$C$3:$U$100,18,FALSE)</f>
        <v>#N/A</v>
      </c>
      <c r="AI81" s="7" t="e">
        <f>VLOOKUP($G81,contragent!$B$3:$I$10,2,FALSE)</f>
        <v>#N/A</v>
      </c>
      <c r="AJ81" s="7" t="e">
        <f>VLOOKUP($G81,contragent!$B$3:$I$10,3,FALSE)</f>
        <v>#N/A</v>
      </c>
      <c r="AK81" s="7" t="e">
        <f>VLOOKUP($G81,contragent!$B$3:$I$10,4,FALSE)</f>
        <v>#N/A</v>
      </c>
      <c r="AL81" s="7" t="e">
        <f>VLOOKUP($G81,contragent!$B$3:$I$10,5,FALSE)</f>
        <v>#N/A</v>
      </c>
      <c r="AM81" s="7" t="e">
        <f>VLOOKUP($G81,contragent!$B$3:$I$10,6,FALSE)</f>
        <v>#N/A</v>
      </c>
      <c r="AN81" s="7" t="e">
        <f>VLOOKUP($G81,contragent!$B$3:$I$10,7,FALSE)</f>
        <v>#N/A</v>
      </c>
      <c r="AO81" s="7" t="e">
        <f>VLOOKUP($G81,contragent!$B$3:$I$10,8,FALSE)</f>
        <v>#N/A</v>
      </c>
    </row>
    <row r="82" spans="2:41" x14ac:dyDescent="0.25">
      <c r="B82" s="9"/>
      <c r="C82" s="11">
        <f t="shared" si="12"/>
        <v>0</v>
      </c>
      <c r="D82" s="9">
        <f>IFERROR(VLOOKUP($B82,emp_info!$C$3:$U$100,19,FALSE),0)</f>
        <v>0</v>
      </c>
      <c r="E82" s="15">
        <v>0</v>
      </c>
      <c r="F82" s="9" t="e">
        <f>DATEDIF(VLOOKUP(B82,emp_info!$C$3:$U$100,6,FALSE),DATE($A$10,$A$8,DAY(VLOOKUP(B82,emp_info!$C$3:$U$100,6,FALSE))),"m")+_xlfn.IFNA(VLOOKUP(B82,emp_info!$C$3:$V$100,20,FALSE),0)</f>
        <v>#N/A</v>
      </c>
      <c r="G82" s="10"/>
      <c r="H82" s="11" t="str">
        <f t="shared" si="23"/>
        <v/>
      </c>
      <c r="I82" s="17">
        <f t="shared" si="13"/>
        <v>43404</v>
      </c>
      <c r="J82" s="21">
        <f t="shared" si="14"/>
        <v>43404</v>
      </c>
      <c r="K82" s="19">
        <f t="shared" si="15"/>
        <v>43374</v>
      </c>
      <c r="L82" s="19">
        <f t="shared" si="16"/>
        <v>43404</v>
      </c>
      <c r="M82" s="18">
        <f t="shared" si="17"/>
        <v>43374</v>
      </c>
      <c r="N82" s="18">
        <f t="shared" si="18"/>
        <v>43404</v>
      </c>
      <c r="O82" s="7" t="str">
        <f t="shared" si="19"/>
        <v xml:space="preserve">Ноль </v>
      </c>
      <c r="P82" s="7" t="str">
        <f t="shared" si="20"/>
        <v>Долларов</v>
      </c>
      <c r="Q82" s="25">
        <f t="shared" si="21"/>
        <v>43417</v>
      </c>
      <c r="R82" s="26">
        <f t="shared" si="21"/>
        <v>43417</v>
      </c>
      <c r="S82" s="26">
        <f t="shared" si="22"/>
        <v>43423</v>
      </c>
      <c r="T82" s="7" t="e">
        <f>VLOOKUP($B82,emp_info!$C$3:$U$100,2,FALSE)</f>
        <v>#N/A</v>
      </c>
      <c r="U82" s="7" t="e">
        <f>VLOOKUP($B82,emp_info!$C$3:$U$100,3,FALSE)</f>
        <v>#N/A</v>
      </c>
      <c r="V82" s="25" t="e">
        <f>VLOOKUP($B82,emp_info!$C$3:$U$100,4,FALSE)</f>
        <v>#N/A</v>
      </c>
      <c r="W82" s="7" t="e">
        <f>VLOOKUP($B82,emp_info!$C$3:$U$100,5,FALSE)</f>
        <v>#N/A</v>
      </c>
      <c r="X82" s="25" t="e">
        <f>VLOOKUP($B82,emp_info!$C$3:$U$100,6,FALSE)</f>
        <v>#N/A</v>
      </c>
      <c r="Y82" s="7" t="e">
        <f>VLOOKUP($B82,emp_info!$C$3:$U$100,7,FALSE)</f>
        <v>#N/A</v>
      </c>
      <c r="Z82" s="7" t="e">
        <f>VLOOKUP($B82,emp_info!$C$3:$U$100,8,FALSE)</f>
        <v>#N/A</v>
      </c>
      <c r="AA82" s="7" t="e">
        <f>VLOOKUP($B82,emp_info!$C$3:$U$100,11,FALSE)</f>
        <v>#N/A</v>
      </c>
      <c r="AB82" s="7" t="e">
        <f>VLOOKUP($B82,emp_info!$C$3:$U$100,12,FALSE)</f>
        <v>#N/A</v>
      </c>
      <c r="AC82" s="7" t="e">
        <f>VLOOKUP($B82,emp_info!$C$3:$U$100,13,FALSE)</f>
        <v>#N/A</v>
      </c>
      <c r="AD82" s="7" t="e">
        <f>VLOOKUP($B82,emp_info!$C$3:$U$100,14,FALSE)</f>
        <v>#N/A</v>
      </c>
      <c r="AE82" s="7" t="e">
        <f>VLOOKUP($B82,emp_info!$C$3:$U$100,15,FALSE)</f>
        <v>#N/A</v>
      </c>
      <c r="AF82" s="7" t="e">
        <f>VLOOKUP($B82,emp_info!$C$3:$U$100,16,FALSE)</f>
        <v>#N/A</v>
      </c>
      <c r="AG82" s="7" t="e">
        <f>VLOOKUP($B82,emp_info!$C$3:$U$100,17,FALSE)</f>
        <v>#N/A</v>
      </c>
      <c r="AH82" s="7" t="e">
        <f>VLOOKUP($B82,emp_info!$C$3:$U$100,18,FALSE)</f>
        <v>#N/A</v>
      </c>
      <c r="AI82" s="7" t="e">
        <f>VLOOKUP($G82,contragent!$B$3:$I$10,2,FALSE)</f>
        <v>#N/A</v>
      </c>
      <c r="AJ82" s="7" t="e">
        <f>VLOOKUP($G82,contragent!$B$3:$I$10,3,FALSE)</f>
        <v>#N/A</v>
      </c>
      <c r="AK82" s="7" t="e">
        <f>VLOOKUP($G82,contragent!$B$3:$I$10,4,FALSE)</f>
        <v>#N/A</v>
      </c>
      <c r="AL82" s="7" t="e">
        <f>VLOOKUP($G82,contragent!$B$3:$I$10,5,FALSE)</f>
        <v>#N/A</v>
      </c>
      <c r="AM82" s="7" t="e">
        <f>VLOOKUP($G82,contragent!$B$3:$I$10,6,FALSE)</f>
        <v>#N/A</v>
      </c>
      <c r="AN82" s="7" t="e">
        <f>VLOOKUP($G82,contragent!$B$3:$I$10,7,FALSE)</f>
        <v>#N/A</v>
      </c>
      <c r="AO82" s="7" t="e">
        <f>VLOOKUP($G82,contragent!$B$3:$I$10,8,FALSE)</f>
        <v>#N/A</v>
      </c>
    </row>
    <row r="83" spans="2:41" x14ac:dyDescent="0.25">
      <c r="B83" s="9"/>
      <c r="C83" s="11">
        <f t="shared" si="12"/>
        <v>0</v>
      </c>
      <c r="D83" s="9">
        <f>IFERROR(VLOOKUP($B83,emp_info!$C$3:$U$100,19,FALSE),0)</f>
        <v>0</v>
      </c>
      <c r="E83" s="15">
        <v>0</v>
      </c>
      <c r="F83" s="9" t="e">
        <f>DATEDIF(VLOOKUP(B83,emp_info!$C$3:$U$100,6,FALSE),DATE($A$10,$A$8,DAY(VLOOKUP(B83,emp_info!$C$3:$U$100,6,FALSE))),"m")+_xlfn.IFNA(VLOOKUP(B83,emp_info!$C$3:$V$100,20,FALSE),0)</f>
        <v>#N/A</v>
      </c>
      <c r="G83" s="10"/>
      <c r="H83" s="11" t="str">
        <f t="shared" si="23"/>
        <v/>
      </c>
      <c r="I83" s="17">
        <f t="shared" si="13"/>
        <v>43404</v>
      </c>
      <c r="J83" s="21">
        <f t="shared" si="14"/>
        <v>43404</v>
      </c>
      <c r="K83" s="19">
        <f t="shared" si="15"/>
        <v>43374</v>
      </c>
      <c r="L83" s="19">
        <f t="shared" si="16"/>
        <v>43404</v>
      </c>
      <c r="M83" s="18">
        <f t="shared" si="17"/>
        <v>43374</v>
      </c>
      <c r="N83" s="18">
        <f t="shared" si="18"/>
        <v>43404</v>
      </c>
      <c r="O83" s="7" t="str">
        <f t="shared" si="19"/>
        <v xml:space="preserve">Ноль </v>
      </c>
      <c r="P83" s="7" t="str">
        <f t="shared" si="20"/>
        <v>Долларов</v>
      </c>
      <c r="Q83" s="25">
        <f t="shared" si="21"/>
        <v>43417</v>
      </c>
      <c r="R83" s="26">
        <f t="shared" si="21"/>
        <v>43417</v>
      </c>
      <c r="S83" s="26">
        <f t="shared" si="22"/>
        <v>43423</v>
      </c>
      <c r="T83" s="7" t="e">
        <f>VLOOKUP($B83,emp_info!$C$3:$U$100,2,FALSE)</f>
        <v>#N/A</v>
      </c>
      <c r="U83" s="7" t="e">
        <f>VLOOKUP($B83,emp_info!$C$3:$U$100,3,FALSE)</f>
        <v>#N/A</v>
      </c>
      <c r="V83" s="25" t="e">
        <f>VLOOKUP($B83,emp_info!$C$3:$U$100,4,FALSE)</f>
        <v>#N/A</v>
      </c>
      <c r="W83" s="7" t="e">
        <f>VLOOKUP($B83,emp_info!$C$3:$U$100,5,FALSE)</f>
        <v>#N/A</v>
      </c>
      <c r="X83" s="25" t="e">
        <f>VLOOKUP($B83,emp_info!$C$3:$U$100,6,FALSE)</f>
        <v>#N/A</v>
      </c>
      <c r="Y83" s="7" t="e">
        <f>VLOOKUP($B83,emp_info!$C$3:$U$100,7,FALSE)</f>
        <v>#N/A</v>
      </c>
      <c r="Z83" s="7" t="e">
        <f>VLOOKUP($B83,emp_info!$C$3:$U$100,8,FALSE)</f>
        <v>#N/A</v>
      </c>
      <c r="AA83" s="7" t="e">
        <f>VLOOKUP($B83,emp_info!$C$3:$U$100,11,FALSE)</f>
        <v>#N/A</v>
      </c>
      <c r="AB83" s="7" t="e">
        <f>VLOOKUP($B83,emp_info!$C$3:$U$100,12,FALSE)</f>
        <v>#N/A</v>
      </c>
      <c r="AC83" s="7" t="e">
        <f>VLOOKUP($B83,emp_info!$C$3:$U$100,13,FALSE)</f>
        <v>#N/A</v>
      </c>
      <c r="AD83" s="7" t="e">
        <f>VLOOKUP($B83,emp_info!$C$3:$U$100,14,FALSE)</f>
        <v>#N/A</v>
      </c>
      <c r="AE83" s="7" t="e">
        <f>VLOOKUP($B83,emp_info!$C$3:$U$100,15,FALSE)</f>
        <v>#N/A</v>
      </c>
      <c r="AF83" s="7" t="e">
        <f>VLOOKUP($B83,emp_info!$C$3:$U$100,16,FALSE)</f>
        <v>#N/A</v>
      </c>
      <c r="AG83" s="7" t="e">
        <f>VLOOKUP($B83,emp_info!$C$3:$U$100,17,FALSE)</f>
        <v>#N/A</v>
      </c>
      <c r="AH83" s="7" t="e">
        <f>VLOOKUP($B83,emp_info!$C$3:$U$100,18,FALSE)</f>
        <v>#N/A</v>
      </c>
      <c r="AI83" s="7" t="e">
        <f>VLOOKUP($G83,contragent!$B$3:$I$10,2,FALSE)</f>
        <v>#N/A</v>
      </c>
      <c r="AJ83" s="7" t="e">
        <f>VLOOKUP($G83,contragent!$B$3:$I$10,3,FALSE)</f>
        <v>#N/A</v>
      </c>
      <c r="AK83" s="7" t="e">
        <f>VLOOKUP($G83,contragent!$B$3:$I$10,4,FALSE)</f>
        <v>#N/A</v>
      </c>
      <c r="AL83" s="7" t="e">
        <f>VLOOKUP($G83,contragent!$B$3:$I$10,5,FALSE)</f>
        <v>#N/A</v>
      </c>
      <c r="AM83" s="7" t="e">
        <f>VLOOKUP($G83,contragent!$B$3:$I$10,6,FALSE)</f>
        <v>#N/A</v>
      </c>
      <c r="AN83" s="7" t="e">
        <f>VLOOKUP($G83,contragent!$B$3:$I$10,7,FALSE)</f>
        <v>#N/A</v>
      </c>
      <c r="AO83" s="7" t="e">
        <f>VLOOKUP($G83,contragent!$B$3:$I$10,8,FALSE)</f>
        <v>#N/A</v>
      </c>
    </row>
    <row r="84" spans="2:41" x14ac:dyDescent="0.25">
      <c r="B84" s="9"/>
      <c r="C84" s="11">
        <f t="shared" si="12"/>
        <v>0</v>
      </c>
      <c r="D84" s="9">
        <f>IFERROR(VLOOKUP($B84,emp_info!$C$3:$U$100,19,FALSE),0)</f>
        <v>0</v>
      </c>
      <c r="E84" s="15">
        <v>0</v>
      </c>
      <c r="F84" s="9" t="e">
        <f>DATEDIF(VLOOKUP(B84,emp_info!$C$3:$U$100,6,FALSE),DATE($A$10,$A$8,DAY(VLOOKUP(B84,emp_info!$C$3:$U$100,6,FALSE))),"m")+_xlfn.IFNA(VLOOKUP(B84,emp_info!$C$3:$V$100,20,FALSE),0)</f>
        <v>#N/A</v>
      </c>
      <c r="G84" s="10"/>
      <c r="H84" s="11" t="str">
        <f t="shared" si="23"/>
        <v/>
      </c>
      <c r="I84" s="17">
        <f t="shared" si="13"/>
        <v>43404</v>
      </c>
      <c r="J84" s="21">
        <f t="shared" si="14"/>
        <v>43404</v>
      </c>
      <c r="K84" s="19">
        <f t="shared" si="15"/>
        <v>43374</v>
      </c>
      <c r="L84" s="19">
        <f t="shared" si="16"/>
        <v>43404</v>
      </c>
      <c r="M84" s="18">
        <f t="shared" si="17"/>
        <v>43374</v>
      </c>
      <c r="N84" s="18">
        <f t="shared" si="18"/>
        <v>43404</v>
      </c>
      <c r="O84" s="7" t="str">
        <f t="shared" si="19"/>
        <v xml:space="preserve">Ноль </v>
      </c>
      <c r="P84" s="7" t="str">
        <f t="shared" si="20"/>
        <v>Долларов</v>
      </c>
      <c r="Q84" s="25">
        <f t="shared" si="21"/>
        <v>43417</v>
      </c>
      <c r="R84" s="26">
        <f t="shared" si="21"/>
        <v>43417</v>
      </c>
      <c r="S84" s="26">
        <f t="shared" si="22"/>
        <v>43423</v>
      </c>
      <c r="T84" s="7" t="e">
        <f>VLOOKUP($B84,emp_info!$C$3:$U$100,2,FALSE)</f>
        <v>#N/A</v>
      </c>
      <c r="U84" s="7" t="e">
        <f>VLOOKUP($B84,emp_info!$C$3:$U$100,3,FALSE)</f>
        <v>#N/A</v>
      </c>
      <c r="V84" s="25" t="e">
        <f>VLOOKUP($B84,emp_info!$C$3:$U$100,4,FALSE)</f>
        <v>#N/A</v>
      </c>
      <c r="W84" s="7" t="e">
        <f>VLOOKUP($B84,emp_info!$C$3:$U$100,5,FALSE)</f>
        <v>#N/A</v>
      </c>
      <c r="X84" s="25" t="e">
        <f>VLOOKUP($B84,emp_info!$C$3:$U$100,6,FALSE)</f>
        <v>#N/A</v>
      </c>
      <c r="Y84" s="7" t="e">
        <f>VLOOKUP($B84,emp_info!$C$3:$U$100,7,FALSE)</f>
        <v>#N/A</v>
      </c>
      <c r="Z84" s="7" t="e">
        <f>VLOOKUP($B84,emp_info!$C$3:$U$100,8,FALSE)</f>
        <v>#N/A</v>
      </c>
      <c r="AA84" s="7" t="e">
        <f>VLOOKUP($B84,emp_info!$C$3:$U$100,11,FALSE)</f>
        <v>#N/A</v>
      </c>
      <c r="AB84" s="7" t="e">
        <f>VLOOKUP($B84,emp_info!$C$3:$U$100,12,FALSE)</f>
        <v>#N/A</v>
      </c>
      <c r="AC84" s="7" t="e">
        <f>VLOOKUP($B84,emp_info!$C$3:$U$100,13,FALSE)</f>
        <v>#N/A</v>
      </c>
      <c r="AD84" s="7" t="e">
        <f>VLOOKUP($B84,emp_info!$C$3:$U$100,14,FALSE)</f>
        <v>#N/A</v>
      </c>
      <c r="AE84" s="7" t="e">
        <f>VLOOKUP($B84,emp_info!$C$3:$U$100,15,FALSE)</f>
        <v>#N/A</v>
      </c>
      <c r="AF84" s="7" t="e">
        <f>VLOOKUP($B84,emp_info!$C$3:$U$100,16,FALSE)</f>
        <v>#N/A</v>
      </c>
      <c r="AG84" s="7" t="e">
        <f>VLOOKUP($B84,emp_info!$C$3:$U$100,17,FALSE)</f>
        <v>#N/A</v>
      </c>
      <c r="AH84" s="7" t="e">
        <f>VLOOKUP($B84,emp_info!$C$3:$U$100,18,FALSE)</f>
        <v>#N/A</v>
      </c>
      <c r="AI84" s="7" t="e">
        <f>VLOOKUP($G84,contragent!$B$3:$I$10,2,FALSE)</f>
        <v>#N/A</v>
      </c>
      <c r="AJ84" s="7" t="e">
        <f>VLOOKUP($G84,contragent!$B$3:$I$10,3,FALSE)</f>
        <v>#N/A</v>
      </c>
      <c r="AK84" s="7" t="e">
        <f>VLOOKUP($G84,contragent!$B$3:$I$10,4,FALSE)</f>
        <v>#N/A</v>
      </c>
      <c r="AL84" s="7" t="e">
        <f>VLOOKUP($G84,contragent!$B$3:$I$10,5,FALSE)</f>
        <v>#N/A</v>
      </c>
      <c r="AM84" s="7" t="e">
        <f>VLOOKUP($G84,contragent!$B$3:$I$10,6,FALSE)</f>
        <v>#N/A</v>
      </c>
      <c r="AN84" s="7" t="e">
        <f>VLOOKUP($G84,contragent!$B$3:$I$10,7,FALSE)</f>
        <v>#N/A</v>
      </c>
      <c r="AO84" s="7" t="e">
        <f>VLOOKUP($G84,contragent!$B$3:$I$10,8,FALSE)</f>
        <v>#N/A</v>
      </c>
    </row>
    <row r="85" spans="2:41" x14ac:dyDescent="0.25">
      <c r="B85" s="9"/>
      <c r="C85" s="11">
        <f t="shared" si="12"/>
        <v>0</v>
      </c>
      <c r="D85" s="9">
        <f>IFERROR(VLOOKUP($B85,emp_info!$C$3:$U$100,19,FALSE),0)</f>
        <v>0</v>
      </c>
      <c r="E85" s="15">
        <v>0</v>
      </c>
      <c r="F85" s="9" t="e">
        <f>DATEDIF(VLOOKUP(B85,emp_info!$C$3:$U$100,6,FALSE),DATE($A$10,$A$8,DAY(VLOOKUP(B85,emp_info!$C$3:$U$100,6,FALSE))),"m")+_xlfn.IFNA(VLOOKUP(B85,emp_info!$C$3:$V$100,20,FALSE),0)</f>
        <v>#N/A</v>
      </c>
      <c r="G85" s="10"/>
      <c r="H85" s="11" t="str">
        <f t="shared" si="23"/>
        <v/>
      </c>
      <c r="I85" s="17">
        <f t="shared" si="13"/>
        <v>43404</v>
      </c>
      <c r="J85" s="21">
        <f t="shared" si="14"/>
        <v>43404</v>
      </c>
      <c r="K85" s="19">
        <f t="shared" si="15"/>
        <v>43374</v>
      </c>
      <c r="L85" s="19">
        <f t="shared" si="16"/>
        <v>43404</v>
      </c>
      <c r="M85" s="18">
        <f t="shared" si="17"/>
        <v>43374</v>
      </c>
      <c r="N85" s="18">
        <f t="shared" si="18"/>
        <v>43404</v>
      </c>
      <c r="O85" s="7" t="str">
        <f t="shared" si="19"/>
        <v xml:space="preserve">Ноль </v>
      </c>
      <c r="P85" s="7" t="str">
        <f t="shared" si="20"/>
        <v>Долларов</v>
      </c>
      <c r="Q85" s="25">
        <f t="shared" si="21"/>
        <v>43417</v>
      </c>
      <c r="R85" s="26">
        <f t="shared" si="21"/>
        <v>43417</v>
      </c>
      <c r="S85" s="26">
        <f t="shared" si="22"/>
        <v>43423</v>
      </c>
      <c r="T85" s="7" t="e">
        <f>VLOOKUP($B85,emp_info!$C$3:$U$100,2,FALSE)</f>
        <v>#N/A</v>
      </c>
      <c r="U85" s="7" t="e">
        <f>VLOOKUP($B85,emp_info!$C$3:$U$100,3,FALSE)</f>
        <v>#N/A</v>
      </c>
      <c r="V85" s="25" t="e">
        <f>VLOOKUP($B85,emp_info!$C$3:$U$100,4,FALSE)</f>
        <v>#N/A</v>
      </c>
      <c r="W85" s="7" t="e">
        <f>VLOOKUP($B85,emp_info!$C$3:$U$100,5,FALSE)</f>
        <v>#N/A</v>
      </c>
      <c r="X85" s="25" t="e">
        <f>VLOOKUP($B85,emp_info!$C$3:$U$100,6,FALSE)</f>
        <v>#N/A</v>
      </c>
      <c r="Y85" s="7" t="e">
        <f>VLOOKUP($B85,emp_info!$C$3:$U$100,7,FALSE)</f>
        <v>#N/A</v>
      </c>
      <c r="Z85" s="7" t="e">
        <f>VLOOKUP($B85,emp_info!$C$3:$U$100,8,FALSE)</f>
        <v>#N/A</v>
      </c>
      <c r="AA85" s="7" t="e">
        <f>VLOOKUP($B85,emp_info!$C$3:$U$100,11,FALSE)</f>
        <v>#N/A</v>
      </c>
      <c r="AB85" s="7" t="e">
        <f>VLOOKUP($B85,emp_info!$C$3:$U$100,12,FALSE)</f>
        <v>#N/A</v>
      </c>
      <c r="AC85" s="7" t="e">
        <f>VLOOKUP($B85,emp_info!$C$3:$U$100,13,FALSE)</f>
        <v>#N/A</v>
      </c>
      <c r="AD85" s="7" t="e">
        <f>VLOOKUP($B85,emp_info!$C$3:$U$100,14,FALSE)</f>
        <v>#N/A</v>
      </c>
      <c r="AE85" s="7" t="e">
        <f>VLOOKUP($B85,emp_info!$C$3:$U$100,15,FALSE)</f>
        <v>#N/A</v>
      </c>
      <c r="AF85" s="7" t="e">
        <f>VLOOKUP($B85,emp_info!$C$3:$U$100,16,FALSE)</f>
        <v>#N/A</v>
      </c>
      <c r="AG85" s="7" t="e">
        <f>VLOOKUP($B85,emp_info!$C$3:$U$100,17,FALSE)</f>
        <v>#N/A</v>
      </c>
      <c r="AH85" s="7" t="e">
        <f>VLOOKUP($B85,emp_info!$C$3:$U$100,18,FALSE)</f>
        <v>#N/A</v>
      </c>
      <c r="AI85" s="7" t="e">
        <f>VLOOKUP($G85,contragent!$B$3:$I$10,2,FALSE)</f>
        <v>#N/A</v>
      </c>
      <c r="AJ85" s="7" t="e">
        <f>VLOOKUP($G85,contragent!$B$3:$I$10,3,FALSE)</f>
        <v>#N/A</v>
      </c>
      <c r="AK85" s="7" t="e">
        <f>VLOOKUP($G85,contragent!$B$3:$I$10,4,FALSE)</f>
        <v>#N/A</v>
      </c>
      <c r="AL85" s="7" t="e">
        <f>VLOOKUP($G85,contragent!$B$3:$I$10,5,FALSE)</f>
        <v>#N/A</v>
      </c>
      <c r="AM85" s="7" t="e">
        <f>VLOOKUP($G85,contragent!$B$3:$I$10,6,FALSE)</f>
        <v>#N/A</v>
      </c>
      <c r="AN85" s="7" t="e">
        <f>VLOOKUP($G85,contragent!$B$3:$I$10,7,FALSE)</f>
        <v>#N/A</v>
      </c>
      <c r="AO85" s="7" t="e">
        <f>VLOOKUP($G85,contragent!$B$3:$I$10,8,FALSE)</f>
        <v>#N/A</v>
      </c>
    </row>
    <row r="86" spans="2:41" x14ac:dyDescent="0.25">
      <c r="B86" s="9"/>
      <c r="C86" s="11">
        <f t="shared" si="12"/>
        <v>0</v>
      </c>
      <c r="D86" s="9">
        <f>IFERROR(VLOOKUP($B86,emp_info!$C$3:$U$100,19,FALSE),0)</f>
        <v>0</v>
      </c>
      <c r="E86" s="15">
        <v>0</v>
      </c>
      <c r="F86" s="9" t="e">
        <f>DATEDIF(VLOOKUP(B86,emp_info!$C$3:$U$100,6,FALSE),DATE($A$10,$A$8,DAY(VLOOKUP(B86,emp_info!$C$3:$U$100,6,FALSE))),"m")+_xlfn.IFNA(VLOOKUP(B86,emp_info!$C$3:$V$100,20,FALSE),0)</f>
        <v>#N/A</v>
      </c>
      <c r="G86" s="10"/>
      <c r="H86" s="11" t="str">
        <f t="shared" si="23"/>
        <v/>
      </c>
      <c r="I86" s="17">
        <f t="shared" si="13"/>
        <v>43404</v>
      </c>
      <c r="J86" s="21">
        <f t="shared" si="14"/>
        <v>43404</v>
      </c>
      <c r="K86" s="19">
        <f t="shared" si="15"/>
        <v>43374</v>
      </c>
      <c r="L86" s="19">
        <f t="shared" si="16"/>
        <v>43404</v>
      </c>
      <c r="M86" s="18">
        <f t="shared" si="17"/>
        <v>43374</v>
      </c>
      <c r="N86" s="18">
        <f t="shared" si="18"/>
        <v>43404</v>
      </c>
      <c r="O86" s="7" t="str">
        <f t="shared" si="19"/>
        <v xml:space="preserve">Ноль </v>
      </c>
      <c r="P86" s="7" t="str">
        <f t="shared" si="20"/>
        <v>Долларов</v>
      </c>
      <c r="Q86" s="25">
        <f t="shared" si="21"/>
        <v>43417</v>
      </c>
      <c r="R86" s="26">
        <f t="shared" si="21"/>
        <v>43417</v>
      </c>
      <c r="S86" s="26">
        <f t="shared" si="22"/>
        <v>43423</v>
      </c>
      <c r="T86" s="7" t="e">
        <f>VLOOKUP($B86,emp_info!$C$3:$U$100,2,FALSE)</f>
        <v>#N/A</v>
      </c>
      <c r="U86" s="7" t="e">
        <f>VLOOKUP($B86,emp_info!$C$3:$U$100,3,FALSE)</f>
        <v>#N/A</v>
      </c>
      <c r="V86" s="25" t="e">
        <f>VLOOKUP($B86,emp_info!$C$3:$U$100,4,FALSE)</f>
        <v>#N/A</v>
      </c>
      <c r="W86" s="7" t="e">
        <f>VLOOKUP($B86,emp_info!$C$3:$U$100,5,FALSE)</f>
        <v>#N/A</v>
      </c>
      <c r="X86" s="25" t="e">
        <f>VLOOKUP($B86,emp_info!$C$3:$U$100,6,FALSE)</f>
        <v>#N/A</v>
      </c>
      <c r="Y86" s="7" t="e">
        <f>VLOOKUP($B86,emp_info!$C$3:$U$100,7,FALSE)</f>
        <v>#N/A</v>
      </c>
      <c r="Z86" s="7" t="e">
        <f>VLOOKUP($B86,emp_info!$C$3:$U$100,8,FALSE)</f>
        <v>#N/A</v>
      </c>
      <c r="AA86" s="7" t="e">
        <f>VLOOKUP($B86,emp_info!$C$3:$U$100,11,FALSE)</f>
        <v>#N/A</v>
      </c>
      <c r="AB86" s="7" t="e">
        <f>VLOOKUP($B86,emp_info!$C$3:$U$100,12,FALSE)</f>
        <v>#N/A</v>
      </c>
      <c r="AC86" s="7" t="e">
        <f>VLOOKUP($B86,emp_info!$C$3:$U$100,13,FALSE)</f>
        <v>#N/A</v>
      </c>
      <c r="AD86" s="7" t="e">
        <f>VLOOKUP($B86,emp_info!$C$3:$U$100,14,FALSE)</f>
        <v>#N/A</v>
      </c>
      <c r="AE86" s="7" t="e">
        <f>VLOOKUP($B86,emp_info!$C$3:$U$100,15,FALSE)</f>
        <v>#N/A</v>
      </c>
      <c r="AF86" s="7" t="e">
        <f>VLOOKUP($B86,emp_info!$C$3:$U$100,16,FALSE)</f>
        <v>#N/A</v>
      </c>
      <c r="AG86" s="7" t="e">
        <f>VLOOKUP($B86,emp_info!$C$3:$U$100,17,FALSE)</f>
        <v>#N/A</v>
      </c>
      <c r="AH86" s="7" t="e">
        <f>VLOOKUP($B86,emp_info!$C$3:$U$100,18,FALSE)</f>
        <v>#N/A</v>
      </c>
      <c r="AI86" s="7" t="e">
        <f>VLOOKUP($G86,contragent!$B$3:$I$10,2,FALSE)</f>
        <v>#N/A</v>
      </c>
      <c r="AJ86" s="7" t="e">
        <f>VLOOKUP($G86,contragent!$B$3:$I$10,3,FALSE)</f>
        <v>#N/A</v>
      </c>
      <c r="AK86" s="7" t="e">
        <f>VLOOKUP($G86,contragent!$B$3:$I$10,4,FALSE)</f>
        <v>#N/A</v>
      </c>
      <c r="AL86" s="7" t="e">
        <f>VLOOKUP($G86,contragent!$B$3:$I$10,5,FALSE)</f>
        <v>#N/A</v>
      </c>
      <c r="AM86" s="7" t="e">
        <f>VLOOKUP($G86,contragent!$B$3:$I$10,6,FALSE)</f>
        <v>#N/A</v>
      </c>
      <c r="AN86" s="7" t="e">
        <f>VLOOKUP($G86,contragent!$B$3:$I$10,7,FALSE)</f>
        <v>#N/A</v>
      </c>
      <c r="AO86" s="7" t="e">
        <f>VLOOKUP($G86,contragent!$B$3:$I$10,8,FALSE)</f>
        <v>#N/A</v>
      </c>
    </row>
    <row r="87" spans="2:41" x14ac:dyDescent="0.25">
      <c r="B87" s="9"/>
      <c r="C87" s="11">
        <f t="shared" si="12"/>
        <v>0</v>
      </c>
      <c r="D87" s="9">
        <f>IFERROR(VLOOKUP($B87,emp_info!$C$3:$U$100,19,FALSE),0)</f>
        <v>0</v>
      </c>
      <c r="E87" s="15">
        <v>0</v>
      </c>
      <c r="F87" s="9" t="e">
        <f>DATEDIF(VLOOKUP(B87,emp_info!$C$3:$U$100,6,FALSE),DATE($A$10,$A$8,DAY(VLOOKUP(B87,emp_info!$C$3:$U$100,6,FALSE))),"m")+_xlfn.IFNA(VLOOKUP(B87,emp_info!$C$3:$V$100,20,FALSE),0)</f>
        <v>#N/A</v>
      </c>
      <c r="G87" s="10"/>
      <c r="H87" s="11" t="str">
        <f t="shared" si="23"/>
        <v/>
      </c>
      <c r="I87" s="17">
        <f t="shared" si="13"/>
        <v>43404</v>
      </c>
      <c r="J87" s="21">
        <f t="shared" si="14"/>
        <v>43404</v>
      </c>
      <c r="K87" s="19">
        <f t="shared" si="15"/>
        <v>43374</v>
      </c>
      <c r="L87" s="19">
        <f t="shared" si="16"/>
        <v>43404</v>
      </c>
      <c r="M87" s="18">
        <f t="shared" si="17"/>
        <v>43374</v>
      </c>
      <c r="N87" s="18">
        <f t="shared" si="18"/>
        <v>43404</v>
      </c>
      <c r="O87" s="7" t="str">
        <f t="shared" si="19"/>
        <v xml:space="preserve">Ноль </v>
      </c>
      <c r="P87" s="7" t="str">
        <f t="shared" si="20"/>
        <v>Долларов</v>
      </c>
      <c r="Q87" s="25">
        <f t="shared" si="21"/>
        <v>43417</v>
      </c>
      <c r="R87" s="26">
        <f t="shared" si="21"/>
        <v>43417</v>
      </c>
      <c r="S87" s="26">
        <f t="shared" si="22"/>
        <v>43423</v>
      </c>
      <c r="T87" s="7" t="e">
        <f>VLOOKUP($B87,emp_info!$C$3:$U$100,2,FALSE)</f>
        <v>#N/A</v>
      </c>
      <c r="U87" s="7" t="e">
        <f>VLOOKUP($B87,emp_info!$C$3:$U$100,3,FALSE)</f>
        <v>#N/A</v>
      </c>
      <c r="V87" s="25" t="e">
        <f>VLOOKUP($B87,emp_info!$C$3:$U$100,4,FALSE)</f>
        <v>#N/A</v>
      </c>
      <c r="W87" s="7" t="e">
        <f>VLOOKUP($B87,emp_info!$C$3:$U$100,5,FALSE)</f>
        <v>#N/A</v>
      </c>
      <c r="X87" s="25" t="e">
        <f>VLOOKUP($B87,emp_info!$C$3:$U$100,6,FALSE)</f>
        <v>#N/A</v>
      </c>
      <c r="Y87" s="7" t="e">
        <f>VLOOKUP($B87,emp_info!$C$3:$U$100,7,FALSE)</f>
        <v>#N/A</v>
      </c>
      <c r="Z87" s="7" t="e">
        <f>VLOOKUP($B87,emp_info!$C$3:$U$100,8,FALSE)</f>
        <v>#N/A</v>
      </c>
      <c r="AA87" s="7" t="e">
        <f>VLOOKUP($B87,emp_info!$C$3:$U$100,11,FALSE)</f>
        <v>#N/A</v>
      </c>
      <c r="AB87" s="7" t="e">
        <f>VLOOKUP($B87,emp_info!$C$3:$U$100,12,FALSE)</f>
        <v>#N/A</v>
      </c>
      <c r="AC87" s="7" t="e">
        <f>VLOOKUP($B87,emp_info!$C$3:$U$100,13,FALSE)</f>
        <v>#N/A</v>
      </c>
      <c r="AD87" s="7" t="e">
        <f>VLOOKUP($B87,emp_info!$C$3:$U$100,14,FALSE)</f>
        <v>#N/A</v>
      </c>
      <c r="AE87" s="7" t="e">
        <f>VLOOKUP($B87,emp_info!$C$3:$U$100,15,FALSE)</f>
        <v>#N/A</v>
      </c>
      <c r="AF87" s="7" t="e">
        <f>VLOOKUP($B87,emp_info!$C$3:$U$100,16,FALSE)</f>
        <v>#N/A</v>
      </c>
      <c r="AG87" s="7" t="e">
        <f>VLOOKUP($B87,emp_info!$C$3:$U$100,17,FALSE)</f>
        <v>#N/A</v>
      </c>
      <c r="AH87" s="7" t="e">
        <f>VLOOKUP($B87,emp_info!$C$3:$U$100,18,FALSE)</f>
        <v>#N/A</v>
      </c>
      <c r="AI87" s="7" t="e">
        <f>VLOOKUP($G87,contragent!$B$3:$I$10,2,FALSE)</f>
        <v>#N/A</v>
      </c>
      <c r="AJ87" s="7" t="e">
        <f>VLOOKUP($G87,contragent!$B$3:$I$10,3,FALSE)</f>
        <v>#N/A</v>
      </c>
      <c r="AK87" s="7" t="e">
        <f>VLOOKUP($G87,contragent!$B$3:$I$10,4,FALSE)</f>
        <v>#N/A</v>
      </c>
      <c r="AL87" s="7" t="e">
        <f>VLOOKUP($G87,contragent!$B$3:$I$10,5,FALSE)</f>
        <v>#N/A</v>
      </c>
      <c r="AM87" s="7" t="e">
        <f>VLOOKUP($G87,contragent!$B$3:$I$10,6,FALSE)</f>
        <v>#N/A</v>
      </c>
      <c r="AN87" s="7" t="e">
        <f>VLOOKUP($G87,contragent!$B$3:$I$10,7,FALSE)</f>
        <v>#N/A</v>
      </c>
      <c r="AO87" s="7" t="e">
        <f>VLOOKUP($G87,contragent!$B$3:$I$10,8,FALSE)</f>
        <v>#N/A</v>
      </c>
    </row>
    <row r="88" spans="2:41" x14ac:dyDescent="0.25">
      <c r="B88" s="9"/>
      <c r="C88" s="11">
        <f t="shared" si="12"/>
        <v>0</v>
      </c>
      <c r="D88" s="9">
        <f>IFERROR(VLOOKUP($B88,emp_info!$C$3:$U$100,19,FALSE),0)</f>
        <v>0</v>
      </c>
      <c r="E88" s="15">
        <v>0</v>
      </c>
      <c r="F88" s="9" t="e">
        <f>DATEDIF(VLOOKUP(B88,emp_info!$C$3:$U$100,6,FALSE),DATE($A$10,$A$8,DAY(VLOOKUP(B88,emp_info!$C$3:$U$100,6,FALSE))),"m")+_xlfn.IFNA(VLOOKUP(B88,emp_info!$C$3:$V$100,20,FALSE),0)</f>
        <v>#N/A</v>
      </c>
      <c r="G88" s="10"/>
      <c r="H88" s="11" t="str">
        <f t="shared" si="23"/>
        <v/>
      </c>
      <c r="I88" s="17">
        <f t="shared" si="13"/>
        <v>43404</v>
      </c>
      <c r="J88" s="21">
        <f t="shared" si="14"/>
        <v>43404</v>
      </c>
      <c r="K88" s="19">
        <f t="shared" si="15"/>
        <v>43374</v>
      </c>
      <c r="L88" s="19">
        <f t="shared" si="16"/>
        <v>43404</v>
      </c>
      <c r="M88" s="18">
        <f t="shared" si="17"/>
        <v>43374</v>
      </c>
      <c r="N88" s="18">
        <f t="shared" si="18"/>
        <v>43404</v>
      </c>
      <c r="O88" s="7" t="str">
        <f t="shared" si="19"/>
        <v xml:space="preserve">Ноль </v>
      </c>
      <c r="P88" s="7" t="str">
        <f t="shared" si="20"/>
        <v>Долларов</v>
      </c>
      <c r="Q88" s="25">
        <f t="shared" si="21"/>
        <v>43417</v>
      </c>
      <c r="R88" s="26">
        <f t="shared" si="21"/>
        <v>43417</v>
      </c>
      <c r="S88" s="26">
        <f t="shared" si="22"/>
        <v>43423</v>
      </c>
      <c r="T88" s="7" t="e">
        <f>VLOOKUP($B88,emp_info!$C$3:$U$100,2,FALSE)</f>
        <v>#N/A</v>
      </c>
      <c r="U88" s="7" t="e">
        <f>VLOOKUP($B88,emp_info!$C$3:$U$100,3,FALSE)</f>
        <v>#N/A</v>
      </c>
      <c r="V88" s="25" t="e">
        <f>VLOOKUP($B88,emp_info!$C$3:$U$100,4,FALSE)</f>
        <v>#N/A</v>
      </c>
      <c r="W88" s="7" t="e">
        <f>VLOOKUP($B88,emp_info!$C$3:$U$100,5,FALSE)</f>
        <v>#N/A</v>
      </c>
      <c r="X88" s="25" t="e">
        <f>VLOOKUP($B88,emp_info!$C$3:$U$100,6,FALSE)</f>
        <v>#N/A</v>
      </c>
      <c r="Y88" s="7" t="e">
        <f>VLOOKUP($B88,emp_info!$C$3:$U$100,7,FALSE)</f>
        <v>#N/A</v>
      </c>
      <c r="Z88" s="7" t="e">
        <f>VLOOKUP($B88,emp_info!$C$3:$U$100,8,FALSE)</f>
        <v>#N/A</v>
      </c>
      <c r="AA88" s="7" t="e">
        <f>VLOOKUP($B88,emp_info!$C$3:$U$100,11,FALSE)</f>
        <v>#N/A</v>
      </c>
      <c r="AB88" s="7" t="e">
        <f>VLOOKUP($B88,emp_info!$C$3:$U$100,12,FALSE)</f>
        <v>#N/A</v>
      </c>
      <c r="AC88" s="7" t="e">
        <f>VLOOKUP($B88,emp_info!$C$3:$U$100,13,FALSE)</f>
        <v>#N/A</v>
      </c>
      <c r="AD88" s="7" t="e">
        <f>VLOOKUP($B88,emp_info!$C$3:$U$100,14,FALSE)</f>
        <v>#N/A</v>
      </c>
      <c r="AE88" s="7" t="e">
        <f>VLOOKUP($B88,emp_info!$C$3:$U$100,15,FALSE)</f>
        <v>#N/A</v>
      </c>
      <c r="AF88" s="7" t="e">
        <f>VLOOKUP($B88,emp_info!$C$3:$U$100,16,FALSE)</f>
        <v>#N/A</v>
      </c>
      <c r="AG88" s="7" t="e">
        <f>VLOOKUP($B88,emp_info!$C$3:$U$100,17,FALSE)</f>
        <v>#N/A</v>
      </c>
      <c r="AH88" s="7" t="e">
        <f>VLOOKUP($B88,emp_info!$C$3:$U$100,18,FALSE)</f>
        <v>#N/A</v>
      </c>
      <c r="AI88" s="7" t="e">
        <f>VLOOKUP($G88,contragent!$B$3:$I$10,2,FALSE)</f>
        <v>#N/A</v>
      </c>
      <c r="AJ88" s="7" t="e">
        <f>VLOOKUP($G88,contragent!$B$3:$I$10,3,FALSE)</f>
        <v>#N/A</v>
      </c>
      <c r="AK88" s="7" t="e">
        <f>VLOOKUP($G88,contragent!$B$3:$I$10,4,FALSE)</f>
        <v>#N/A</v>
      </c>
      <c r="AL88" s="7" t="e">
        <f>VLOOKUP($G88,contragent!$B$3:$I$10,5,FALSE)</f>
        <v>#N/A</v>
      </c>
      <c r="AM88" s="7" t="e">
        <f>VLOOKUP($G88,contragent!$B$3:$I$10,6,FALSE)</f>
        <v>#N/A</v>
      </c>
      <c r="AN88" s="7" t="e">
        <f>VLOOKUP($G88,contragent!$B$3:$I$10,7,FALSE)</f>
        <v>#N/A</v>
      </c>
      <c r="AO88" s="7" t="e">
        <f>VLOOKUP($G88,contragent!$B$3:$I$10,8,FALSE)</f>
        <v>#N/A</v>
      </c>
    </row>
    <row r="89" spans="2:41" x14ac:dyDescent="0.25">
      <c r="B89" s="9"/>
      <c r="C89" s="11">
        <f t="shared" si="12"/>
        <v>0</v>
      </c>
      <c r="D89" s="9">
        <f>IFERROR(VLOOKUP($B89,emp_info!$C$3:$U$100,19,FALSE),0)</f>
        <v>0</v>
      </c>
      <c r="E89" s="15">
        <v>0</v>
      </c>
      <c r="F89" s="9" t="e">
        <f>DATEDIF(VLOOKUP(B89,emp_info!$C$3:$U$100,6,FALSE),DATE($A$10,$A$8,DAY(VLOOKUP(B89,emp_info!$C$3:$U$100,6,FALSE))),"m")+_xlfn.IFNA(VLOOKUP(B89,emp_info!$C$3:$V$100,20,FALSE),0)</f>
        <v>#N/A</v>
      </c>
      <c r="G89" s="10"/>
      <c r="H89" s="11" t="str">
        <f t="shared" si="23"/>
        <v/>
      </c>
      <c r="I89" s="17">
        <f t="shared" si="13"/>
        <v>43404</v>
      </c>
      <c r="J89" s="21">
        <f t="shared" si="14"/>
        <v>43404</v>
      </c>
      <c r="K89" s="19">
        <f t="shared" si="15"/>
        <v>43374</v>
      </c>
      <c r="L89" s="19">
        <f t="shared" si="16"/>
        <v>43404</v>
      </c>
      <c r="M89" s="18">
        <f t="shared" si="17"/>
        <v>43374</v>
      </c>
      <c r="N89" s="18">
        <f t="shared" si="18"/>
        <v>43404</v>
      </c>
      <c r="O89" s="7" t="str">
        <f t="shared" si="19"/>
        <v xml:space="preserve">Ноль </v>
      </c>
      <c r="P89" s="7" t="str">
        <f t="shared" si="20"/>
        <v>Долларов</v>
      </c>
      <c r="Q89" s="25">
        <f t="shared" si="21"/>
        <v>43417</v>
      </c>
      <c r="R89" s="26">
        <f t="shared" si="21"/>
        <v>43417</v>
      </c>
      <c r="S89" s="26">
        <f t="shared" si="22"/>
        <v>43423</v>
      </c>
      <c r="T89" s="7" t="e">
        <f>VLOOKUP($B89,emp_info!$C$3:$U$100,2,FALSE)</f>
        <v>#N/A</v>
      </c>
      <c r="U89" s="7" t="e">
        <f>VLOOKUP($B89,emp_info!$C$3:$U$100,3,FALSE)</f>
        <v>#N/A</v>
      </c>
      <c r="V89" s="25" t="e">
        <f>VLOOKUP($B89,emp_info!$C$3:$U$100,4,FALSE)</f>
        <v>#N/A</v>
      </c>
      <c r="W89" s="7" t="e">
        <f>VLOOKUP($B89,emp_info!$C$3:$U$100,5,FALSE)</f>
        <v>#N/A</v>
      </c>
      <c r="X89" s="25" t="e">
        <f>VLOOKUP($B89,emp_info!$C$3:$U$100,6,FALSE)</f>
        <v>#N/A</v>
      </c>
      <c r="Y89" s="7" t="e">
        <f>VLOOKUP($B89,emp_info!$C$3:$U$100,7,FALSE)</f>
        <v>#N/A</v>
      </c>
      <c r="Z89" s="7" t="e">
        <f>VLOOKUP($B89,emp_info!$C$3:$U$100,8,FALSE)</f>
        <v>#N/A</v>
      </c>
      <c r="AA89" s="7" t="e">
        <f>VLOOKUP($B89,emp_info!$C$3:$U$100,11,FALSE)</f>
        <v>#N/A</v>
      </c>
      <c r="AB89" s="7" t="e">
        <f>VLOOKUP($B89,emp_info!$C$3:$U$100,12,FALSE)</f>
        <v>#N/A</v>
      </c>
      <c r="AC89" s="7" t="e">
        <f>VLOOKUP($B89,emp_info!$C$3:$U$100,13,FALSE)</f>
        <v>#N/A</v>
      </c>
      <c r="AD89" s="7" t="e">
        <f>VLOOKUP($B89,emp_info!$C$3:$U$100,14,FALSE)</f>
        <v>#N/A</v>
      </c>
      <c r="AE89" s="7" t="e">
        <f>VLOOKUP($B89,emp_info!$C$3:$U$100,15,FALSE)</f>
        <v>#N/A</v>
      </c>
      <c r="AF89" s="7" t="e">
        <f>VLOOKUP($B89,emp_info!$C$3:$U$100,16,FALSE)</f>
        <v>#N/A</v>
      </c>
      <c r="AG89" s="7" t="e">
        <f>VLOOKUP($B89,emp_info!$C$3:$U$100,17,FALSE)</f>
        <v>#N/A</v>
      </c>
      <c r="AH89" s="7" t="e">
        <f>VLOOKUP($B89,emp_info!$C$3:$U$100,18,FALSE)</f>
        <v>#N/A</v>
      </c>
      <c r="AI89" s="7" t="e">
        <f>VLOOKUP($G89,contragent!$B$3:$I$10,2,FALSE)</f>
        <v>#N/A</v>
      </c>
      <c r="AJ89" s="7" t="e">
        <f>VLOOKUP($G89,contragent!$B$3:$I$10,3,FALSE)</f>
        <v>#N/A</v>
      </c>
      <c r="AK89" s="7" t="e">
        <f>VLOOKUP($G89,contragent!$B$3:$I$10,4,FALSE)</f>
        <v>#N/A</v>
      </c>
      <c r="AL89" s="7" t="e">
        <f>VLOOKUP($G89,contragent!$B$3:$I$10,5,FALSE)</f>
        <v>#N/A</v>
      </c>
      <c r="AM89" s="7" t="e">
        <f>VLOOKUP($G89,contragent!$B$3:$I$10,6,FALSE)</f>
        <v>#N/A</v>
      </c>
      <c r="AN89" s="7" t="e">
        <f>VLOOKUP($G89,contragent!$B$3:$I$10,7,FALSE)</f>
        <v>#N/A</v>
      </c>
      <c r="AO89" s="7" t="e">
        <f>VLOOKUP($G89,contragent!$B$3:$I$10,8,FALSE)</f>
        <v>#N/A</v>
      </c>
    </row>
    <row r="90" spans="2:41" x14ac:dyDescent="0.25">
      <c r="B90" s="9"/>
      <c r="C90" s="11">
        <f t="shared" si="12"/>
        <v>0</v>
      </c>
      <c r="D90" s="9">
        <f>IFERROR(VLOOKUP($B90,emp_info!$C$3:$U$100,19,FALSE),0)</f>
        <v>0</v>
      </c>
      <c r="E90" s="15">
        <v>0</v>
      </c>
      <c r="F90" s="9" t="e">
        <f>DATEDIF(VLOOKUP(B90,emp_info!$C$3:$U$100,6,FALSE),DATE($A$10,$A$8,DAY(VLOOKUP(B90,emp_info!$C$3:$U$100,6,FALSE))),"m")+_xlfn.IFNA(VLOOKUP(B90,emp_info!$C$3:$V$100,20,FALSE),0)</f>
        <v>#N/A</v>
      </c>
      <c r="G90" s="10"/>
      <c r="H90" s="11" t="str">
        <f t="shared" si="23"/>
        <v/>
      </c>
      <c r="I90" s="17">
        <f t="shared" si="13"/>
        <v>43404</v>
      </c>
      <c r="J90" s="21">
        <f t="shared" si="14"/>
        <v>43404</v>
      </c>
      <c r="K90" s="19">
        <f t="shared" si="15"/>
        <v>43374</v>
      </c>
      <c r="L90" s="19">
        <f t="shared" si="16"/>
        <v>43404</v>
      </c>
      <c r="M90" s="18">
        <f t="shared" si="17"/>
        <v>43374</v>
      </c>
      <c r="N90" s="18">
        <f t="shared" si="18"/>
        <v>43404</v>
      </c>
      <c r="O90" s="7" t="str">
        <f t="shared" si="19"/>
        <v xml:space="preserve">Ноль </v>
      </c>
      <c r="P90" s="7" t="str">
        <f t="shared" si="20"/>
        <v>Долларов</v>
      </c>
      <c r="Q90" s="25">
        <f t="shared" si="21"/>
        <v>43417</v>
      </c>
      <c r="R90" s="26">
        <f t="shared" si="21"/>
        <v>43417</v>
      </c>
      <c r="S90" s="26">
        <f t="shared" si="22"/>
        <v>43423</v>
      </c>
      <c r="T90" s="7" t="e">
        <f>VLOOKUP($B90,emp_info!$C$3:$U$100,2,FALSE)</f>
        <v>#N/A</v>
      </c>
      <c r="U90" s="7" t="e">
        <f>VLOOKUP($B90,emp_info!$C$3:$U$100,3,FALSE)</f>
        <v>#N/A</v>
      </c>
      <c r="V90" s="25" t="e">
        <f>VLOOKUP($B90,emp_info!$C$3:$U$100,4,FALSE)</f>
        <v>#N/A</v>
      </c>
      <c r="W90" s="7" t="e">
        <f>VLOOKUP($B90,emp_info!$C$3:$U$100,5,FALSE)</f>
        <v>#N/A</v>
      </c>
      <c r="X90" s="25" t="e">
        <f>VLOOKUP($B90,emp_info!$C$3:$U$100,6,FALSE)</f>
        <v>#N/A</v>
      </c>
      <c r="Y90" s="7" t="e">
        <f>VLOOKUP($B90,emp_info!$C$3:$U$100,7,FALSE)</f>
        <v>#N/A</v>
      </c>
      <c r="Z90" s="7" t="e">
        <f>VLOOKUP($B90,emp_info!$C$3:$U$100,8,FALSE)</f>
        <v>#N/A</v>
      </c>
      <c r="AA90" s="7" t="e">
        <f>VLOOKUP($B90,emp_info!$C$3:$U$100,11,FALSE)</f>
        <v>#N/A</v>
      </c>
      <c r="AB90" s="7" t="e">
        <f>VLOOKUP($B90,emp_info!$C$3:$U$100,12,FALSE)</f>
        <v>#N/A</v>
      </c>
      <c r="AC90" s="7" t="e">
        <f>VLOOKUP($B90,emp_info!$C$3:$U$100,13,FALSE)</f>
        <v>#N/A</v>
      </c>
      <c r="AD90" s="7" t="e">
        <f>VLOOKUP($B90,emp_info!$C$3:$U$100,14,FALSE)</f>
        <v>#N/A</v>
      </c>
      <c r="AE90" s="7" t="e">
        <f>VLOOKUP($B90,emp_info!$C$3:$U$100,15,FALSE)</f>
        <v>#N/A</v>
      </c>
      <c r="AF90" s="7" t="e">
        <f>VLOOKUP($B90,emp_info!$C$3:$U$100,16,FALSE)</f>
        <v>#N/A</v>
      </c>
      <c r="AG90" s="7" t="e">
        <f>VLOOKUP($B90,emp_info!$C$3:$U$100,17,FALSE)</f>
        <v>#N/A</v>
      </c>
      <c r="AH90" s="7" t="e">
        <f>VLOOKUP($B90,emp_info!$C$3:$U$100,18,FALSE)</f>
        <v>#N/A</v>
      </c>
      <c r="AI90" s="7" t="e">
        <f>VLOOKUP($G90,contragent!$B$3:$I$10,2,FALSE)</f>
        <v>#N/A</v>
      </c>
      <c r="AJ90" s="7" t="e">
        <f>VLOOKUP($G90,contragent!$B$3:$I$10,3,FALSE)</f>
        <v>#N/A</v>
      </c>
      <c r="AK90" s="7" t="e">
        <f>VLOOKUP($G90,contragent!$B$3:$I$10,4,FALSE)</f>
        <v>#N/A</v>
      </c>
      <c r="AL90" s="7" t="e">
        <f>VLOOKUP($G90,contragent!$B$3:$I$10,5,FALSE)</f>
        <v>#N/A</v>
      </c>
      <c r="AM90" s="7" t="e">
        <f>VLOOKUP($G90,contragent!$B$3:$I$10,6,FALSE)</f>
        <v>#N/A</v>
      </c>
      <c r="AN90" s="7" t="e">
        <f>VLOOKUP($G90,contragent!$B$3:$I$10,7,FALSE)</f>
        <v>#N/A</v>
      </c>
      <c r="AO90" s="7" t="e">
        <f>VLOOKUP($G90,contragent!$B$3:$I$10,8,FALSE)</f>
        <v>#N/A</v>
      </c>
    </row>
    <row r="91" spans="2:41" x14ac:dyDescent="0.25">
      <c r="B91" s="9"/>
      <c r="C91" s="11">
        <f t="shared" si="12"/>
        <v>0</v>
      </c>
      <c r="D91" s="9">
        <f>IFERROR(VLOOKUP($B91,emp_info!$C$3:$U$100,19,FALSE),0)</f>
        <v>0</v>
      </c>
      <c r="E91" s="15">
        <v>0</v>
      </c>
      <c r="F91" s="9" t="e">
        <f>DATEDIF(VLOOKUP(B91,emp_info!$C$3:$U$100,6,FALSE),DATE($A$10,$A$8,DAY(VLOOKUP(B91,emp_info!$C$3:$U$100,6,FALSE))),"m")+_xlfn.IFNA(VLOOKUP(B91,emp_info!$C$3:$V$100,20,FALSE),0)</f>
        <v>#N/A</v>
      </c>
      <c r="G91" s="10"/>
      <c r="H91" s="11" t="str">
        <f t="shared" si="23"/>
        <v/>
      </c>
      <c r="I91" s="17">
        <f t="shared" si="13"/>
        <v>43404</v>
      </c>
      <c r="J91" s="21">
        <f t="shared" si="14"/>
        <v>43404</v>
      </c>
      <c r="K91" s="19">
        <f t="shared" si="15"/>
        <v>43374</v>
      </c>
      <c r="L91" s="19">
        <f t="shared" si="16"/>
        <v>43404</v>
      </c>
      <c r="M91" s="18">
        <f t="shared" si="17"/>
        <v>43374</v>
      </c>
      <c r="N91" s="18">
        <f t="shared" si="18"/>
        <v>43404</v>
      </c>
      <c r="O91" s="7" t="str">
        <f t="shared" si="19"/>
        <v xml:space="preserve">Ноль </v>
      </c>
      <c r="P91" s="7" t="str">
        <f t="shared" si="20"/>
        <v>Долларов</v>
      </c>
      <c r="Q91" s="25">
        <f t="shared" si="21"/>
        <v>43417</v>
      </c>
      <c r="R91" s="26">
        <f t="shared" si="21"/>
        <v>43417</v>
      </c>
      <c r="S91" s="26">
        <f t="shared" si="22"/>
        <v>43423</v>
      </c>
      <c r="T91" s="7" t="e">
        <f>VLOOKUP($B91,emp_info!$C$3:$U$100,2,FALSE)</f>
        <v>#N/A</v>
      </c>
      <c r="U91" s="7" t="e">
        <f>VLOOKUP($B91,emp_info!$C$3:$U$100,3,FALSE)</f>
        <v>#N/A</v>
      </c>
      <c r="V91" s="25" t="e">
        <f>VLOOKUP($B91,emp_info!$C$3:$U$100,4,FALSE)</f>
        <v>#N/A</v>
      </c>
      <c r="W91" s="7" t="e">
        <f>VLOOKUP($B91,emp_info!$C$3:$U$100,5,FALSE)</f>
        <v>#N/A</v>
      </c>
      <c r="X91" s="25" t="e">
        <f>VLOOKUP($B91,emp_info!$C$3:$U$100,6,FALSE)</f>
        <v>#N/A</v>
      </c>
      <c r="Y91" s="7" t="e">
        <f>VLOOKUP($B91,emp_info!$C$3:$U$100,7,FALSE)</f>
        <v>#N/A</v>
      </c>
      <c r="Z91" s="7" t="e">
        <f>VLOOKUP($B91,emp_info!$C$3:$U$100,8,FALSE)</f>
        <v>#N/A</v>
      </c>
      <c r="AA91" s="7" t="e">
        <f>VLOOKUP($B91,emp_info!$C$3:$U$100,11,FALSE)</f>
        <v>#N/A</v>
      </c>
      <c r="AB91" s="7" t="e">
        <f>VLOOKUP($B91,emp_info!$C$3:$U$100,12,FALSE)</f>
        <v>#N/A</v>
      </c>
      <c r="AC91" s="7" t="e">
        <f>VLOOKUP($B91,emp_info!$C$3:$U$100,13,FALSE)</f>
        <v>#N/A</v>
      </c>
      <c r="AD91" s="7" t="e">
        <f>VLOOKUP($B91,emp_info!$C$3:$U$100,14,FALSE)</f>
        <v>#N/A</v>
      </c>
      <c r="AE91" s="7" t="e">
        <f>VLOOKUP($B91,emp_info!$C$3:$U$100,15,FALSE)</f>
        <v>#N/A</v>
      </c>
      <c r="AF91" s="7" t="e">
        <f>VLOOKUP($B91,emp_info!$C$3:$U$100,16,FALSE)</f>
        <v>#N/A</v>
      </c>
      <c r="AG91" s="7" t="e">
        <f>VLOOKUP($B91,emp_info!$C$3:$U$100,17,FALSE)</f>
        <v>#N/A</v>
      </c>
      <c r="AH91" s="7" t="e">
        <f>VLOOKUP($B91,emp_info!$C$3:$U$100,18,FALSE)</f>
        <v>#N/A</v>
      </c>
      <c r="AI91" s="7" t="e">
        <f>VLOOKUP($G91,contragent!$B$3:$I$10,2,FALSE)</f>
        <v>#N/A</v>
      </c>
      <c r="AJ91" s="7" t="e">
        <f>VLOOKUP($G91,contragent!$B$3:$I$10,3,FALSE)</f>
        <v>#N/A</v>
      </c>
      <c r="AK91" s="7" t="e">
        <f>VLOOKUP($G91,contragent!$B$3:$I$10,4,FALSE)</f>
        <v>#N/A</v>
      </c>
      <c r="AL91" s="7" t="e">
        <f>VLOOKUP($G91,contragent!$B$3:$I$10,5,FALSE)</f>
        <v>#N/A</v>
      </c>
      <c r="AM91" s="7" t="e">
        <f>VLOOKUP($G91,contragent!$B$3:$I$10,6,FALSE)</f>
        <v>#N/A</v>
      </c>
      <c r="AN91" s="7" t="e">
        <f>VLOOKUP($G91,contragent!$B$3:$I$10,7,FALSE)</f>
        <v>#N/A</v>
      </c>
      <c r="AO91" s="7" t="e">
        <f>VLOOKUP($G91,contragent!$B$3:$I$10,8,FALSE)</f>
        <v>#N/A</v>
      </c>
    </row>
    <row r="92" spans="2:41" x14ac:dyDescent="0.25">
      <c r="B92" s="9"/>
      <c r="C92" s="11">
        <f t="shared" si="12"/>
        <v>0</v>
      </c>
      <c r="D92" s="9">
        <f>IFERROR(VLOOKUP($B92,emp_info!$C$3:$U$100,19,FALSE),0)</f>
        <v>0</v>
      </c>
      <c r="E92" s="15">
        <v>0</v>
      </c>
      <c r="F92" s="9" t="e">
        <f>DATEDIF(VLOOKUP(B92,emp_info!$C$3:$U$100,6,FALSE),DATE($A$10,$A$8,DAY(VLOOKUP(B92,emp_info!$C$3:$U$100,6,FALSE))),"m")+_xlfn.IFNA(VLOOKUP(B92,emp_info!$C$3:$V$100,20,FALSE),0)</f>
        <v>#N/A</v>
      </c>
      <c r="G92" s="10"/>
      <c r="H92" s="11" t="str">
        <f t="shared" si="23"/>
        <v/>
      </c>
      <c r="I92" s="17">
        <f t="shared" si="13"/>
        <v>43404</v>
      </c>
      <c r="J92" s="21">
        <f t="shared" si="14"/>
        <v>43404</v>
      </c>
      <c r="K92" s="19">
        <f t="shared" si="15"/>
        <v>43374</v>
      </c>
      <c r="L92" s="19">
        <f t="shared" si="16"/>
        <v>43404</v>
      </c>
      <c r="M92" s="18">
        <f t="shared" si="17"/>
        <v>43374</v>
      </c>
      <c r="N92" s="18">
        <f t="shared" si="18"/>
        <v>43404</v>
      </c>
      <c r="O92" s="7" t="str">
        <f t="shared" si="19"/>
        <v xml:space="preserve">Ноль </v>
      </c>
      <c r="P92" s="7" t="str">
        <f t="shared" si="20"/>
        <v>Долларов</v>
      </c>
      <c r="Q92" s="25">
        <f t="shared" si="21"/>
        <v>43417</v>
      </c>
      <c r="R92" s="26">
        <f t="shared" si="21"/>
        <v>43417</v>
      </c>
      <c r="S92" s="26">
        <f t="shared" si="22"/>
        <v>43423</v>
      </c>
      <c r="T92" s="7" t="e">
        <f>VLOOKUP($B92,emp_info!$C$3:$U$100,2,FALSE)</f>
        <v>#N/A</v>
      </c>
      <c r="U92" s="7" t="e">
        <f>VLOOKUP($B92,emp_info!$C$3:$U$100,3,FALSE)</f>
        <v>#N/A</v>
      </c>
      <c r="V92" s="25" t="e">
        <f>VLOOKUP($B92,emp_info!$C$3:$U$100,4,FALSE)</f>
        <v>#N/A</v>
      </c>
      <c r="W92" s="7" t="e">
        <f>VLOOKUP($B92,emp_info!$C$3:$U$100,5,FALSE)</f>
        <v>#N/A</v>
      </c>
      <c r="X92" s="25" t="e">
        <f>VLOOKUP($B92,emp_info!$C$3:$U$100,6,FALSE)</f>
        <v>#N/A</v>
      </c>
      <c r="Y92" s="7" t="e">
        <f>VLOOKUP($B92,emp_info!$C$3:$U$100,7,FALSE)</f>
        <v>#N/A</v>
      </c>
      <c r="Z92" s="7" t="e">
        <f>VLOOKUP($B92,emp_info!$C$3:$U$100,8,FALSE)</f>
        <v>#N/A</v>
      </c>
      <c r="AA92" s="7" t="e">
        <f>VLOOKUP($B92,emp_info!$C$3:$U$100,11,FALSE)</f>
        <v>#N/A</v>
      </c>
      <c r="AB92" s="7" t="e">
        <f>VLOOKUP($B92,emp_info!$C$3:$U$100,12,FALSE)</f>
        <v>#N/A</v>
      </c>
      <c r="AC92" s="7" t="e">
        <f>VLOOKUP($B92,emp_info!$C$3:$U$100,13,FALSE)</f>
        <v>#N/A</v>
      </c>
      <c r="AD92" s="7" t="e">
        <f>VLOOKUP($B92,emp_info!$C$3:$U$100,14,FALSE)</f>
        <v>#N/A</v>
      </c>
      <c r="AE92" s="7" t="e">
        <f>VLOOKUP($B92,emp_info!$C$3:$U$100,15,FALSE)</f>
        <v>#N/A</v>
      </c>
      <c r="AF92" s="7" t="e">
        <f>VLOOKUP($B92,emp_info!$C$3:$U$100,16,FALSE)</f>
        <v>#N/A</v>
      </c>
      <c r="AG92" s="7" t="e">
        <f>VLOOKUP($B92,emp_info!$C$3:$U$100,17,FALSE)</f>
        <v>#N/A</v>
      </c>
      <c r="AH92" s="7" t="e">
        <f>VLOOKUP($B92,emp_info!$C$3:$U$100,18,FALSE)</f>
        <v>#N/A</v>
      </c>
      <c r="AI92" s="7" t="e">
        <f>VLOOKUP($G92,contragent!$B$3:$I$10,2,FALSE)</f>
        <v>#N/A</v>
      </c>
      <c r="AJ92" s="7" t="e">
        <f>VLOOKUP($G92,contragent!$B$3:$I$10,3,FALSE)</f>
        <v>#N/A</v>
      </c>
      <c r="AK92" s="7" t="e">
        <f>VLOOKUP($G92,contragent!$B$3:$I$10,4,FALSE)</f>
        <v>#N/A</v>
      </c>
      <c r="AL92" s="7" t="e">
        <f>VLOOKUP($G92,contragent!$B$3:$I$10,5,FALSE)</f>
        <v>#N/A</v>
      </c>
      <c r="AM92" s="7" t="e">
        <f>VLOOKUP($G92,contragent!$B$3:$I$10,6,FALSE)</f>
        <v>#N/A</v>
      </c>
      <c r="AN92" s="7" t="e">
        <f>VLOOKUP($G92,contragent!$B$3:$I$10,7,FALSE)</f>
        <v>#N/A</v>
      </c>
      <c r="AO92" s="7" t="e">
        <f>VLOOKUP($G92,contragent!$B$3:$I$10,8,FALSE)</f>
        <v>#N/A</v>
      </c>
    </row>
    <row r="93" spans="2:41" x14ac:dyDescent="0.25">
      <c r="B93" s="9"/>
      <c r="C93" s="11">
        <f t="shared" si="12"/>
        <v>0</v>
      </c>
      <c r="D93" s="9">
        <f>IFERROR(VLOOKUP($B93,emp_info!$C$3:$U$100,19,FALSE),0)</f>
        <v>0</v>
      </c>
      <c r="E93" s="15">
        <v>0</v>
      </c>
      <c r="F93" s="9" t="e">
        <f>DATEDIF(VLOOKUP(B93,emp_info!$C$3:$U$100,6,FALSE),DATE($A$10,$A$8,DAY(VLOOKUP(B93,emp_info!$C$3:$U$100,6,FALSE))),"m")+_xlfn.IFNA(VLOOKUP(B93,emp_info!$C$3:$V$100,20,FALSE),0)</f>
        <v>#N/A</v>
      </c>
      <c r="G93" s="10"/>
      <c r="H93" s="11" t="str">
        <f t="shared" si="23"/>
        <v/>
      </c>
      <c r="I93" s="17">
        <f t="shared" si="13"/>
        <v>43404</v>
      </c>
      <c r="J93" s="21">
        <f t="shared" si="14"/>
        <v>43404</v>
      </c>
      <c r="K93" s="19">
        <f t="shared" si="15"/>
        <v>43374</v>
      </c>
      <c r="L93" s="19">
        <f t="shared" si="16"/>
        <v>43404</v>
      </c>
      <c r="M93" s="18">
        <f t="shared" si="17"/>
        <v>43374</v>
      </c>
      <c r="N93" s="18">
        <f t="shared" si="18"/>
        <v>43404</v>
      </c>
      <c r="O93" s="7" t="str">
        <f t="shared" si="19"/>
        <v xml:space="preserve">Ноль </v>
      </c>
      <c r="P93" s="7" t="str">
        <f t="shared" si="20"/>
        <v>Долларов</v>
      </c>
      <c r="Q93" s="25">
        <f t="shared" si="21"/>
        <v>43417</v>
      </c>
      <c r="R93" s="26">
        <f t="shared" si="21"/>
        <v>43417</v>
      </c>
      <c r="S93" s="26">
        <f t="shared" si="22"/>
        <v>43423</v>
      </c>
      <c r="T93" s="7" t="e">
        <f>VLOOKUP($B93,emp_info!$C$3:$U$100,2,FALSE)</f>
        <v>#N/A</v>
      </c>
      <c r="U93" s="7" t="e">
        <f>VLOOKUP($B93,emp_info!$C$3:$U$100,3,FALSE)</f>
        <v>#N/A</v>
      </c>
      <c r="V93" s="25" t="e">
        <f>VLOOKUP($B93,emp_info!$C$3:$U$100,4,FALSE)</f>
        <v>#N/A</v>
      </c>
      <c r="W93" s="7" t="e">
        <f>VLOOKUP($B93,emp_info!$C$3:$U$100,5,FALSE)</f>
        <v>#N/A</v>
      </c>
      <c r="X93" s="25" t="e">
        <f>VLOOKUP($B93,emp_info!$C$3:$U$100,6,FALSE)</f>
        <v>#N/A</v>
      </c>
      <c r="Y93" s="7" t="e">
        <f>VLOOKUP($B93,emp_info!$C$3:$U$100,7,FALSE)</f>
        <v>#N/A</v>
      </c>
      <c r="Z93" s="7" t="e">
        <f>VLOOKUP($B93,emp_info!$C$3:$U$100,8,FALSE)</f>
        <v>#N/A</v>
      </c>
      <c r="AA93" s="7" t="e">
        <f>VLOOKUP($B93,emp_info!$C$3:$U$100,11,FALSE)</f>
        <v>#N/A</v>
      </c>
      <c r="AB93" s="7" t="e">
        <f>VLOOKUP($B93,emp_info!$C$3:$U$100,12,FALSE)</f>
        <v>#N/A</v>
      </c>
      <c r="AC93" s="7" t="e">
        <f>VLOOKUP($B93,emp_info!$C$3:$U$100,13,FALSE)</f>
        <v>#N/A</v>
      </c>
      <c r="AD93" s="7" t="e">
        <f>VLOOKUP($B93,emp_info!$C$3:$U$100,14,FALSE)</f>
        <v>#N/A</v>
      </c>
      <c r="AE93" s="7" t="e">
        <f>VLOOKUP($B93,emp_info!$C$3:$U$100,15,FALSE)</f>
        <v>#N/A</v>
      </c>
      <c r="AF93" s="7" t="e">
        <f>VLOOKUP($B93,emp_info!$C$3:$U$100,16,FALSE)</f>
        <v>#N/A</v>
      </c>
      <c r="AG93" s="7" t="e">
        <f>VLOOKUP($B93,emp_info!$C$3:$U$100,17,FALSE)</f>
        <v>#N/A</v>
      </c>
      <c r="AH93" s="7" t="e">
        <f>VLOOKUP($B93,emp_info!$C$3:$U$100,18,FALSE)</f>
        <v>#N/A</v>
      </c>
      <c r="AI93" s="7" t="e">
        <f>VLOOKUP($G93,contragent!$B$3:$I$10,2,FALSE)</f>
        <v>#N/A</v>
      </c>
      <c r="AJ93" s="7" t="e">
        <f>VLOOKUP($G93,contragent!$B$3:$I$10,3,FALSE)</f>
        <v>#N/A</v>
      </c>
      <c r="AK93" s="7" t="e">
        <f>VLOOKUP($G93,contragent!$B$3:$I$10,4,FALSE)</f>
        <v>#N/A</v>
      </c>
      <c r="AL93" s="7" t="e">
        <f>VLOOKUP($G93,contragent!$B$3:$I$10,5,FALSE)</f>
        <v>#N/A</v>
      </c>
      <c r="AM93" s="7" t="e">
        <f>VLOOKUP($G93,contragent!$B$3:$I$10,6,FALSE)</f>
        <v>#N/A</v>
      </c>
      <c r="AN93" s="7" t="e">
        <f>VLOOKUP($G93,contragent!$B$3:$I$10,7,FALSE)</f>
        <v>#N/A</v>
      </c>
      <c r="AO93" s="7" t="e">
        <f>VLOOKUP($G93,contragent!$B$3:$I$10,8,FALSE)</f>
        <v>#N/A</v>
      </c>
    </row>
    <row r="94" spans="2:41" x14ac:dyDescent="0.25">
      <c r="B94" s="9"/>
      <c r="C94" s="11">
        <f t="shared" si="12"/>
        <v>0</v>
      </c>
      <c r="D94" s="9">
        <f>IFERROR(VLOOKUP($B94,emp_info!$C$3:$U$100,19,FALSE),0)</f>
        <v>0</v>
      </c>
      <c r="E94" s="15">
        <v>0</v>
      </c>
      <c r="F94" s="9" t="e">
        <f>DATEDIF(VLOOKUP(B94,emp_info!$C$3:$U$100,6,FALSE),DATE($A$10,$A$8,DAY(VLOOKUP(B94,emp_info!$C$3:$U$100,6,FALSE))),"m")+_xlfn.IFNA(VLOOKUP(B94,emp_info!$C$3:$V$100,20,FALSE),0)</f>
        <v>#N/A</v>
      </c>
      <c r="G94" s="10"/>
      <c r="H94" s="11" t="str">
        <f t="shared" si="23"/>
        <v/>
      </c>
      <c r="I94" s="17">
        <f t="shared" si="13"/>
        <v>43404</v>
      </c>
      <c r="J94" s="21">
        <f t="shared" si="14"/>
        <v>43404</v>
      </c>
      <c r="K94" s="19">
        <f t="shared" si="15"/>
        <v>43374</v>
      </c>
      <c r="L94" s="19">
        <f t="shared" si="16"/>
        <v>43404</v>
      </c>
      <c r="M94" s="18">
        <f t="shared" si="17"/>
        <v>43374</v>
      </c>
      <c r="N94" s="18">
        <f t="shared" si="18"/>
        <v>43404</v>
      </c>
      <c r="O94" s="7" t="str">
        <f t="shared" si="19"/>
        <v xml:space="preserve">Ноль </v>
      </c>
      <c r="P94" s="7" t="str">
        <f t="shared" si="20"/>
        <v>Долларов</v>
      </c>
      <c r="Q94" s="25">
        <f t="shared" si="21"/>
        <v>43417</v>
      </c>
      <c r="R94" s="26">
        <f t="shared" si="21"/>
        <v>43417</v>
      </c>
      <c r="S94" s="26">
        <f t="shared" si="22"/>
        <v>43423</v>
      </c>
      <c r="T94" s="7" t="e">
        <f>VLOOKUP($B94,emp_info!$C$3:$U$100,2,FALSE)</f>
        <v>#N/A</v>
      </c>
      <c r="U94" s="7" t="e">
        <f>VLOOKUP($B94,emp_info!$C$3:$U$100,3,FALSE)</f>
        <v>#N/A</v>
      </c>
      <c r="V94" s="25" t="e">
        <f>VLOOKUP($B94,emp_info!$C$3:$U$100,4,FALSE)</f>
        <v>#N/A</v>
      </c>
      <c r="W94" s="7" t="e">
        <f>VLOOKUP($B94,emp_info!$C$3:$U$100,5,FALSE)</f>
        <v>#N/A</v>
      </c>
      <c r="X94" s="25" t="e">
        <f>VLOOKUP($B94,emp_info!$C$3:$U$100,6,FALSE)</f>
        <v>#N/A</v>
      </c>
      <c r="Y94" s="7" t="e">
        <f>VLOOKUP($B94,emp_info!$C$3:$U$100,7,FALSE)</f>
        <v>#N/A</v>
      </c>
      <c r="Z94" s="7" t="e">
        <f>VLOOKUP($B94,emp_info!$C$3:$U$100,8,FALSE)</f>
        <v>#N/A</v>
      </c>
      <c r="AA94" s="7" t="e">
        <f>VLOOKUP($B94,emp_info!$C$3:$U$100,11,FALSE)</f>
        <v>#N/A</v>
      </c>
      <c r="AB94" s="7" t="e">
        <f>VLOOKUP($B94,emp_info!$C$3:$U$100,12,FALSE)</f>
        <v>#N/A</v>
      </c>
      <c r="AC94" s="7" t="e">
        <f>VLOOKUP($B94,emp_info!$C$3:$U$100,13,FALSE)</f>
        <v>#N/A</v>
      </c>
      <c r="AD94" s="7" t="e">
        <f>VLOOKUP($B94,emp_info!$C$3:$U$100,14,FALSE)</f>
        <v>#N/A</v>
      </c>
      <c r="AE94" s="7" t="e">
        <f>VLOOKUP($B94,emp_info!$C$3:$U$100,15,FALSE)</f>
        <v>#N/A</v>
      </c>
      <c r="AF94" s="7" t="e">
        <f>VLOOKUP($B94,emp_info!$C$3:$U$100,16,FALSE)</f>
        <v>#N/A</v>
      </c>
      <c r="AG94" s="7" t="e">
        <f>VLOOKUP($B94,emp_info!$C$3:$U$100,17,FALSE)</f>
        <v>#N/A</v>
      </c>
      <c r="AH94" s="7" t="e">
        <f>VLOOKUP($B94,emp_info!$C$3:$U$100,18,FALSE)</f>
        <v>#N/A</v>
      </c>
      <c r="AI94" s="7" t="e">
        <f>VLOOKUP($G94,contragent!$B$3:$I$10,2,FALSE)</f>
        <v>#N/A</v>
      </c>
      <c r="AJ94" s="7" t="e">
        <f>VLOOKUP($G94,contragent!$B$3:$I$10,3,FALSE)</f>
        <v>#N/A</v>
      </c>
      <c r="AK94" s="7" t="e">
        <f>VLOOKUP($G94,contragent!$B$3:$I$10,4,FALSE)</f>
        <v>#N/A</v>
      </c>
      <c r="AL94" s="7" t="e">
        <f>VLOOKUP($G94,contragent!$B$3:$I$10,5,FALSE)</f>
        <v>#N/A</v>
      </c>
      <c r="AM94" s="7" t="e">
        <f>VLOOKUP($G94,contragent!$B$3:$I$10,6,FALSE)</f>
        <v>#N/A</v>
      </c>
      <c r="AN94" s="7" t="e">
        <f>VLOOKUP($G94,contragent!$B$3:$I$10,7,FALSE)</f>
        <v>#N/A</v>
      </c>
      <c r="AO94" s="7" t="e">
        <f>VLOOKUP($G94,contragent!$B$3:$I$10,8,FALSE)</f>
        <v>#N/A</v>
      </c>
    </row>
    <row r="95" spans="2:41" x14ac:dyDescent="0.25">
      <c r="B95" s="9"/>
      <c r="C95" s="11">
        <f t="shared" si="12"/>
        <v>0</v>
      </c>
      <c r="D95" s="9">
        <f>IFERROR(VLOOKUP($B95,emp_info!$C$3:$U$100,19,FALSE),0)</f>
        <v>0</v>
      </c>
      <c r="E95" s="15">
        <v>0</v>
      </c>
      <c r="F95" s="9" t="e">
        <f>DATEDIF(VLOOKUP(B95,emp_info!$C$3:$U$100,6,FALSE),DATE($A$10,$A$8,DAY(VLOOKUP(B95,emp_info!$C$3:$U$100,6,FALSE))),"m")+_xlfn.IFNA(VLOOKUP(B95,emp_info!$C$3:$V$100,20,FALSE),0)</f>
        <v>#N/A</v>
      </c>
      <c r="G95" s="10"/>
      <c r="H95" s="11" t="str">
        <f t="shared" si="23"/>
        <v/>
      </c>
      <c r="I95" s="17">
        <f t="shared" si="13"/>
        <v>43404</v>
      </c>
      <c r="J95" s="21">
        <f t="shared" si="14"/>
        <v>43404</v>
      </c>
      <c r="K95" s="19">
        <f t="shared" si="15"/>
        <v>43374</v>
      </c>
      <c r="L95" s="19">
        <f t="shared" si="16"/>
        <v>43404</v>
      </c>
      <c r="M95" s="18">
        <f t="shared" si="17"/>
        <v>43374</v>
      </c>
      <c r="N95" s="18">
        <f t="shared" si="18"/>
        <v>43404</v>
      </c>
      <c r="O95" s="7" t="str">
        <f t="shared" si="19"/>
        <v xml:space="preserve">Ноль </v>
      </c>
      <c r="P95" s="7" t="str">
        <f t="shared" si="20"/>
        <v>Долларов</v>
      </c>
      <c r="Q95" s="25">
        <f t="shared" si="21"/>
        <v>43417</v>
      </c>
      <c r="R95" s="26">
        <f t="shared" si="21"/>
        <v>43417</v>
      </c>
      <c r="S95" s="26">
        <f t="shared" si="22"/>
        <v>43423</v>
      </c>
      <c r="T95" s="7" t="e">
        <f>VLOOKUP($B95,emp_info!$C$3:$U$100,2,FALSE)</f>
        <v>#N/A</v>
      </c>
      <c r="U95" s="7" t="e">
        <f>VLOOKUP($B95,emp_info!$C$3:$U$100,3,FALSE)</f>
        <v>#N/A</v>
      </c>
      <c r="V95" s="25" t="e">
        <f>VLOOKUP($B95,emp_info!$C$3:$U$100,4,FALSE)</f>
        <v>#N/A</v>
      </c>
      <c r="W95" s="7" t="e">
        <f>VLOOKUP($B95,emp_info!$C$3:$U$100,5,FALSE)</f>
        <v>#N/A</v>
      </c>
      <c r="X95" s="25" t="e">
        <f>VLOOKUP($B95,emp_info!$C$3:$U$100,6,FALSE)</f>
        <v>#N/A</v>
      </c>
      <c r="Y95" s="7" t="e">
        <f>VLOOKUP($B95,emp_info!$C$3:$U$100,7,FALSE)</f>
        <v>#N/A</v>
      </c>
      <c r="Z95" s="7" t="e">
        <f>VLOOKUP($B95,emp_info!$C$3:$U$100,8,FALSE)</f>
        <v>#N/A</v>
      </c>
      <c r="AA95" s="7" t="e">
        <f>VLOOKUP($B95,emp_info!$C$3:$U$100,11,FALSE)</f>
        <v>#N/A</v>
      </c>
      <c r="AB95" s="7" t="e">
        <f>VLOOKUP($B95,emp_info!$C$3:$U$100,12,FALSE)</f>
        <v>#N/A</v>
      </c>
      <c r="AC95" s="7" t="e">
        <f>VLOOKUP($B95,emp_info!$C$3:$U$100,13,FALSE)</f>
        <v>#N/A</v>
      </c>
      <c r="AD95" s="7" t="e">
        <f>VLOOKUP($B95,emp_info!$C$3:$U$100,14,FALSE)</f>
        <v>#N/A</v>
      </c>
      <c r="AE95" s="7" t="e">
        <f>VLOOKUP($B95,emp_info!$C$3:$U$100,15,FALSE)</f>
        <v>#N/A</v>
      </c>
      <c r="AF95" s="7" t="e">
        <f>VLOOKUP($B95,emp_info!$C$3:$U$100,16,FALSE)</f>
        <v>#N/A</v>
      </c>
      <c r="AG95" s="7" t="e">
        <f>VLOOKUP($B95,emp_info!$C$3:$U$100,17,FALSE)</f>
        <v>#N/A</v>
      </c>
      <c r="AH95" s="7" t="e">
        <f>VLOOKUP($B95,emp_info!$C$3:$U$100,18,FALSE)</f>
        <v>#N/A</v>
      </c>
      <c r="AI95" s="7" t="e">
        <f>VLOOKUP($G95,contragent!$B$3:$I$10,2,FALSE)</f>
        <v>#N/A</v>
      </c>
      <c r="AJ95" s="7" t="e">
        <f>VLOOKUP($G95,contragent!$B$3:$I$10,3,FALSE)</f>
        <v>#N/A</v>
      </c>
      <c r="AK95" s="7" t="e">
        <f>VLOOKUP($G95,contragent!$B$3:$I$10,4,FALSE)</f>
        <v>#N/A</v>
      </c>
      <c r="AL95" s="7" t="e">
        <f>VLOOKUP($G95,contragent!$B$3:$I$10,5,FALSE)</f>
        <v>#N/A</v>
      </c>
      <c r="AM95" s="7" t="e">
        <f>VLOOKUP($G95,contragent!$B$3:$I$10,6,FALSE)</f>
        <v>#N/A</v>
      </c>
      <c r="AN95" s="7" t="e">
        <f>VLOOKUP($G95,contragent!$B$3:$I$10,7,FALSE)</f>
        <v>#N/A</v>
      </c>
      <c r="AO95" s="7" t="e">
        <f>VLOOKUP($G95,contragent!$B$3:$I$10,8,FALSE)</f>
        <v>#N/A</v>
      </c>
    </row>
    <row r="96" spans="2:41" x14ac:dyDescent="0.25">
      <c r="B96" s="9"/>
      <c r="C96" s="11">
        <f t="shared" si="12"/>
        <v>0</v>
      </c>
      <c r="D96" s="9">
        <f>IFERROR(VLOOKUP($B96,emp_info!$C$3:$U$100,19,FALSE),0)</f>
        <v>0</v>
      </c>
      <c r="E96" s="15">
        <v>0</v>
      </c>
      <c r="F96" s="9" t="e">
        <f>DATEDIF(VLOOKUP(B96,emp_info!$C$3:$U$100,6,FALSE),DATE($A$10,$A$8,DAY(VLOOKUP(B96,emp_info!$C$3:$U$100,6,FALSE))),"m")+_xlfn.IFNA(VLOOKUP(B96,emp_info!$C$3:$V$100,20,FALSE),0)</f>
        <v>#N/A</v>
      </c>
      <c r="G96" s="10"/>
      <c r="H96" s="11" t="str">
        <f t="shared" si="23"/>
        <v/>
      </c>
      <c r="I96" s="17">
        <f t="shared" si="13"/>
        <v>43404</v>
      </c>
      <c r="J96" s="21">
        <f t="shared" si="14"/>
        <v>43404</v>
      </c>
      <c r="K96" s="19">
        <f t="shared" si="15"/>
        <v>43374</v>
      </c>
      <c r="L96" s="19">
        <f t="shared" si="16"/>
        <v>43404</v>
      </c>
      <c r="M96" s="18">
        <f t="shared" si="17"/>
        <v>43374</v>
      </c>
      <c r="N96" s="18">
        <f t="shared" si="18"/>
        <v>43404</v>
      </c>
      <c r="O96" s="7" t="str">
        <f t="shared" si="19"/>
        <v xml:space="preserve">Ноль </v>
      </c>
      <c r="P96" s="7" t="str">
        <f t="shared" si="20"/>
        <v>Долларов</v>
      </c>
      <c r="Q96" s="25">
        <f t="shared" si="21"/>
        <v>43417</v>
      </c>
      <c r="R96" s="26">
        <f t="shared" si="21"/>
        <v>43417</v>
      </c>
      <c r="S96" s="26">
        <f t="shared" si="22"/>
        <v>43423</v>
      </c>
      <c r="T96" s="7" t="e">
        <f>VLOOKUP($B96,emp_info!$C$3:$U$100,2,FALSE)</f>
        <v>#N/A</v>
      </c>
      <c r="U96" s="7" t="e">
        <f>VLOOKUP($B96,emp_info!$C$3:$U$100,3,FALSE)</f>
        <v>#N/A</v>
      </c>
      <c r="V96" s="25" t="e">
        <f>VLOOKUP($B96,emp_info!$C$3:$U$100,4,FALSE)</f>
        <v>#N/A</v>
      </c>
      <c r="W96" s="7" t="e">
        <f>VLOOKUP($B96,emp_info!$C$3:$U$100,5,FALSE)</f>
        <v>#N/A</v>
      </c>
      <c r="X96" s="25" t="e">
        <f>VLOOKUP($B96,emp_info!$C$3:$U$100,6,FALSE)</f>
        <v>#N/A</v>
      </c>
      <c r="Y96" s="7" t="e">
        <f>VLOOKUP($B96,emp_info!$C$3:$U$100,7,FALSE)</f>
        <v>#N/A</v>
      </c>
      <c r="Z96" s="7" t="e">
        <f>VLOOKUP($B96,emp_info!$C$3:$U$100,8,FALSE)</f>
        <v>#N/A</v>
      </c>
      <c r="AA96" s="7" t="e">
        <f>VLOOKUP($B96,emp_info!$C$3:$U$100,11,FALSE)</f>
        <v>#N/A</v>
      </c>
      <c r="AB96" s="7" t="e">
        <f>VLOOKUP($B96,emp_info!$C$3:$U$100,12,FALSE)</f>
        <v>#N/A</v>
      </c>
      <c r="AC96" s="7" t="e">
        <f>VLOOKUP($B96,emp_info!$C$3:$U$100,13,FALSE)</f>
        <v>#N/A</v>
      </c>
      <c r="AD96" s="7" t="e">
        <f>VLOOKUP($B96,emp_info!$C$3:$U$100,14,FALSE)</f>
        <v>#N/A</v>
      </c>
      <c r="AE96" s="7" t="e">
        <f>VLOOKUP($B96,emp_info!$C$3:$U$100,15,FALSE)</f>
        <v>#N/A</v>
      </c>
      <c r="AF96" s="7" t="e">
        <f>VLOOKUP($B96,emp_info!$C$3:$U$100,16,FALSE)</f>
        <v>#N/A</v>
      </c>
      <c r="AG96" s="7" t="e">
        <f>VLOOKUP($B96,emp_info!$C$3:$U$100,17,FALSE)</f>
        <v>#N/A</v>
      </c>
      <c r="AH96" s="7" t="e">
        <f>VLOOKUP($B96,emp_info!$C$3:$U$100,18,FALSE)</f>
        <v>#N/A</v>
      </c>
      <c r="AI96" s="7" t="e">
        <f>VLOOKUP($G96,contragent!$B$3:$I$10,2,FALSE)</f>
        <v>#N/A</v>
      </c>
      <c r="AJ96" s="7" t="e">
        <f>VLOOKUP($G96,contragent!$B$3:$I$10,3,FALSE)</f>
        <v>#N/A</v>
      </c>
      <c r="AK96" s="7" t="e">
        <f>VLOOKUP($G96,contragent!$B$3:$I$10,4,FALSE)</f>
        <v>#N/A</v>
      </c>
      <c r="AL96" s="7" t="e">
        <f>VLOOKUP($G96,contragent!$B$3:$I$10,5,FALSE)</f>
        <v>#N/A</v>
      </c>
      <c r="AM96" s="7" t="e">
        <f>VLOOKUP($G96,contragent!$B$3:$I$10,6,FALSE)</f>
        <v>#N/A</v>
      </c>
      <c r="AN96" s="7" t="e">
        <f>VLOOKUP($G96,contragent!$B$3:$I$10,7,FALSE)</f>
        <v>#N/A</v>
      </c>
      <c r="AO96" s="7" t="e">
        <f>VLOOKUP($G96,contragent!$B$3:$I$10,8,FALSE)</f>
        <v>#N/A</v>
      </c>
    </row>
    <row r="97" spans="2:41" x14ac:dyDescent="0.25">
      <c r="B97" s="9"/>
      <c r="C97" s="11">
        <f t="shared" si="12"/>
        <v>0</v>
      </c>
      <c r="D97" s="9">
        <f>IFERROR(VLOOKUP($B97,emp_info!$C$3:$U$100,19,FALSE),0)</f>
        <v>0</v>
      </c>
      <c r="E97" s="15">
        <v>0</v>
      </c>
      <c r="F97" s="9" t="e">
        <f>DATEDIF(VLOOKUP(B97,emp_info!$C$3:$U$100,6,FALSE),DATE($A$10,$A$8,DAY(VLOOKUP(B97,emp_info!$C$3:$U$100,6,FALSE))),"m")+_xlfn.IFNA(VLOOKUP(B97,emp_info!$C$3:$V$100,20,FALSE),0)</f>
        <v>#N/A</v>
      </c>
      <c r="G97" s="10"/>
      <c r="H97" s="11" t="str">
        <f t="shared" si="23"/>
        <v/>
      </c>
      <c r="I97" s="17">
        <f t="shared" si="13"/>
        <v>43404</v>
      </c>
      <c r="J97" s="21">
        <f t="shared" si="14"/>
        <v>43404</v>
      </c>
      <c r="K97" s="19">
        <f t="shared" si="15"/>
        <v>43374</v>
      </c>
      <c r="L97" s="19">
        <f t="shared" si="16"/>
        <v>43404</v>
      </c>
      <c r="M97" s="18">
        <f t="shared" si="17"/>
        <v>43374</v>
      </c>
      <c r="N97" s="18">
        <f t="shared" si="18"/>
        <v>43404</v>
      </c>
      <c r="O97" s="7" t="str">
        <f t="shared" si="19"/>
        <v xml:space="preserve">Ноль </v>
      </c>
      <c r="P97" s="7" t="str">
        <f t="shared" si="20"/>
        <v>Долларов</v>
      </c>
      <c r="Q97" s="25">
        <f t="shared" si="21"/>
        <v>43417</v>
      </c>
      <c r="R97" s="26">
        <f t="shared" si="21"/>
        <v>43417</v>
      </c>
      <c r="S97" s="26">
        <f t="shared" si="22"/>
        <v>43423</v>
      </c>
      <c r="T97" s="7" t="e">
        <f>VLOOKUP($B97,emp_info!$C$3:$U$100,2,FALSE)</f>
        <v>#N/A</v>
      </c>
      <c r="U97" s="7" t="e">
        <f>VLOOKUP($B97,emp_info!$C$3:$U$100,3,FALSE)</f>
        <v>#N/A</v>
      </c>
      <c r="V97" s="25" t="e">
        <f>VLOOKUP($B97,emp_info!$C$3:$U$100,4,FALSE)</f>
        <v>#N/A</v>
      </c>
      <c r="W97" s="7" t="e">
        <f>VLOOKUP($B97,emp_info!$C$3:$U$100,5,FALSE)</f>
        <v>#N/A</v>
      </c>
      <c r="X97" s="25" t="e">
        <f>VLOOKUP($B97,emp_info!$C$3:$U$100,6,FALSE)</f>
        <v>#N/A</v>
      </c>
      <c r="Y97" s="7" t="e">
        <f>VLOOKUP($B97,emp_info!$C$3:$U$100,7,FALSE)</f>
        <v>#N/A</v>
      </c>
      <c r="Z97" s="7" t="e">
        <f>VLOOKUP($B97,emp_info!$C$3:$U$100,8,FALSE)</f>
        <v>#N/A</v>
      </c>
      <c r="AA97" s="7" t="e">
        <f>VLOOKUP($B97,emp_info!$C$3:$U$100,11,FALSE)</f>
        <v>#N/A</v>
      </c>
      <c r="AB97" s="7" t="e">
        <f>VLOOKUP($B97,emp_info!$C$3:$U$100,12,FALSE)</f>
        <v>#N/A</v>
      </c>
      <c r="AC97" s="7" t="e">
        <f>VLOOKUP($B97,emp_info!$C$3:$U$100,13,FALSE)</f>
        <v>#N/A</v>
      </c>
      <c r="AD97" s="7" t="e">
        <f>VLOOKUP($B97,emp_info!$C$3:$U$100,14,FALSE)</f>
        <v>#N/A</v>
      </c>
      <c r="AE97" s="7" t="e">
        <f>VLOOKUP($B97,emp_info!$C$3:$U$100,15,FALSE)</f>
        <v>#N/A</v>
      </c>
      <c r="AF97" s="7" t="e">
        <f>VLOOKUP($B97,emp_info!$C$3:$U$100,16,FALSE)</f>
        <v>#N/A</v>
      </c>
      <c r="AG97" s="7" t="e">
        <f>VLOOKUP($B97,emp_info!$C$3:$U$100,17,FALSE)</f>
        <v>#N/A</v>
      </c>
      <c r="AH97" s="7" t="e">
        <f>VLOOKUP($B97,emp_info!$C$3:$U$100,18,FALSE)</f>
        <v>#N/A</v>
      </c>
      <c r="AI97" s="7" t="e">
        <f>VLOOKUP($G97,contragent!$B$3:$I$10,2,FALSE)</f>
        <v>#N/A</v>
      </c>
      <c r="AJ97" s="7" t="e">
        <f>VLOOKUP($G97,contragent!$B$3:$I$10,3,FALSE)</f>
        <v>#N/A</v>
      </c>
      <c r="AK97" s="7" t="e">
        <f>VLOOKUP($G97,contragent!$B$3:$I$10,4,FALSE)</f>
        <v>#N/A</v>
      </c>
      <c r="AL97" s="7" t="e">
        <f>VLOOKUP($G97,contragent!$B$3:$I$10,5,FALSE)</f>
        <v>#N/A</v>
      </c>
      <c r="AM97" s="7" t="e">
        <f>VLOOKUP($G97,contragent!$B$3:$I$10,6,FALSE)</f>
        <v>#N/A</v>
      </c>
      <c r="AN97" s="7" t="e">
        <f>VLOOKUP($G97,contragent!$B$3:$I$10,7,FALSE)</f>
        <v>#N/A</v>
      </c>
      <c r="AO97" s="7" t="e">
        <f>VLOOKUP($G97,contragent!$B$3:$I$10,8,FALSE)</f>
        <v>#N/A</v>
      </c>
    </row>
    <row r="98" spans="2:41" x14ac:dyDescent="0.25">
      <c r="B98" s="9"/>
      <c r="C98" s="11">
        <f t="shared" si="12"/>
        <v>0</v>
      </c>
      <c r="D98" s="9">
        <f>IFERROR(VLOOKUP($B98,emp_info!$C$3:$U$100,19,FALSE),0)</f>
        <v>0</v>
      </c>
      <c r="E98" s="15">
        <v>0</v>
      </c>
      <c r="F98" s="9" t="e">
        <f>DATEDIF(VLOOKUP(B98,emp_info!$C$3:$U$100,6,FALSE),DATE($A$10,$A$8,DAY(VLOOKUP(B98,emp_info!$C$3:$U$100,6,FALSE))),"m")+_xlfn.IFNA(VLOOKUP(B98,emp_info!$C$3:$V$100,20,FALSE),0)</f>
        <v>#N/A</v>
      </c>
      <c r="G98" s="10"/>
      <c r="H98" s="11" t="str">
        <f t="shared" si="23"/>
        <v/>
      </c>
      <c r="I98" s="17">
        <f t="shared" si="13"/>
        <v>43404</v>
      </c>
      <c r="J98" s="21">
        <f t="shared" si="14"/>
        <v>43404</v>
      </c>
      <c r="K98" s="19">
        <f t="shared" si="15"/>
        <v>43374</v>
      </c>
      <c r="L98" s="19">
        <f t="shared" si="16"/>
        <v>43404</v>
      </c>
      <c r="M98" s="18">
        <f t="shared" si="17"/>
        <v>43374</v>
      </c>
      <c r="N98" s="18">
        <f t="shared" si="18"/>
        <v>43404</v>
      </c>
      <c r="O98" s="7" t="str">
        <f t="shared" si="19"/>
        <v xml:space="preserve">Ноль </v>
      </c>
      <c r="P98" s="7" t="str">
        <f t="shared" si="20"/>
        <v>Долларов</v>
      </c>
      <c r="Q98" s="25">
        <f t="shared" si="21"/>
        <v>43417</v>
      </c>
      <c r="R98" s="26">
        <f t="shared" si="21"/>
        <v>43417</v>
      </c>
      <c r="S98" s="26">
        <f t="shared" si="22"/>
        <v>43423</v>
      </c>
      <c r="T98" s="7" t="e">
        <f>VLOOKUP($B98,emp_info!$C$3:$U$100,2,FALSE)</f>
        <v>#N/A</v>
      </c>
      <c r="U98" s="7" t="e">
        <f>VLOOKUP($B98,emp_info!$C$3:$U$100,3,FALSE)</f>
        <v>#N/A</v>
      </c>
      <c r="V98" s="25" t="e">
        <f>VLOOKUP($B98,emp_info!$C$3:$U$100,4,FALSE)</f>
        <v>#N/A</v>
      </c>
      <c r="W98" s="7" t="e">
        <f>VLOOKUP($B98,emp_info!$C$3:$U$100,5,FALSE)</f>
        <v>#N/A</v>
      </c>
      <c r="X98" s="25" t="e">
        <f>VLOOKUP($B98,emp_info!$C$3:$U$100,6,FALSE)</f>
        <v>#N/A</v>
      </c>
      <c r="Y98" s="7" t="e">
        <f>VLOOKUP($B98,emp_info!$C$3:$U$100,7,FALSE)</f>
        <v>#N/A</v>
      </c>
      <c r="Z98" s="7" t="e">
        <f>VLOOKUP($B98,emp_info!$C$3:$U$100,8,FALSE)</f>
        <v>#N/A</v>
      </c>
      <c r="AA98" s="7" t="e">
        <f>VLOOKUP($B98,emp_info!$C$3:$U$100,11,FALSE)</f>
        <v>#N/A</v>
      </c>
      <c r="AB98" s="7" t="e">
        <f>VLOOKUP($B98,emp_info!$C$3:$U$100,12,FALSE)</f>
        <v>#N/A</v>
      </c>
      <c r="AC98" s="7" t="e">
        <f>VLOOKUP($B98,emp_info!$C$3:$U$100,13,FALSE)</f>
        <v>#N/A</v>
      </c>
      <c r="AD98" s="7" t="e">
        <f>VLOOKUP($B98,emp_info!$C$3:$U$100,14,FALSE)</f>
        <v>#N/A</v>
      </c>
      <c r="AE98" s="7" t="e">
        <f>VLOOKUP($B98,emp_info!$C$3:$U$100,15,FALSE)</f>
        <v>#N/A</v>
      </c>
      <c r="AF98" s="7" t="e">
        <f>VLOOKUP($B98,emp_info!$C$3:$U$100,16,FALSE)</f>
        <v>#N/A</v>
      </c>
      <c r="AG98" s="7" t="e">
        <f>VLOOKUP($B98,emp_info!$C$3:$U$100,17,FALSE)</f>
        <v>#N/A</v>
      </c>
      <c r="AH98" s="7" t="e">
        <f>VLOOKUP($B98,emp_info!$C$3:$U$100,18,FALSE)</f>
        <v>#N/A</v>
      </c>
      <c r="AI98" s="7" t="e">
        <f>VLOOKUP($G98,contragent!$B$3:$I$10,2,FALSE)</f>
        <v>#N/A</v>
      </c>
      <c r="AJ98" s="7" t="e">
        <f>VLOOKUP($G98,contragent!$B$3:$I$10,3,FALSE)</f>
        <v>#N/A</v>
      </c>
      <c r="AK98" s="7" t="e">
        <f>VLOOKUP($G98,contragent!$B$3:$I$10,4,FALSE)</f>
        <v>#N/A</v>
      </c>
      <c r="AL98" s="7" t="e">
        <f>VLOOKUP($G98,contragent!$B$3:$I$10,5,FALSE)</f>
        <v>#N/A</v>
      </c>
      <c r="AM98" s="7" t="e">
        <f>VLOOKUP($G98,contragent!$B$3:$I$10,6,FALSE)</f>
        <v>#N/A</v>
      </c>
      <c r="AN98" s="7" t="e">
        <f>VLOOKUP($G98,contragent!$B$3:$I$10,7,FALSE)</f>
        <v>#N/A</v>
      </c>
      <c r="AO98" s="7" t="e">
        <f>VLOOKUP($G98,contragent!$B$3:$I$10,8,FALSE)</f>
        <v>#N/A</v>
      </c>
    </row>
    <row r="99" spans="2:41" x14ac:dyDescent="0.25">
      <c r="B99" s="9"/>
      <c r="C99" s="11">
        <f t="shared" si="12"/>
        <v>0</v>
      </c>
      <c r="D99" s="9">
        <f>IFERROR(VLOOKUP($B99,emp_info!$C$3:$U$100,19,FALSE),0)</f>
        <v>0</v>
      </c>
      <c r="E99" s="15">
        <v>0</v>
      </c>
      <c r="F99" s="9" t="e">
        <f>DATEDIF(VLOOKUP(B99,emp_info!$C$3:$U$100,6,FALSE),DATE($A$10,$A$8,DAY(VLOOKUP(B99,emp_info!$C$3:$U$100,6,FALSE))),"m")+_xlfn.IFNA(VLOOKUP(B99,emp_info!$C$3:$V$100,20,FALSE),0)</f>
        <v>#N/A</v>
      </c>
      <c r="G99" s="10"/>
      <c r="H99" s="11" t="str">
        <f t="shared" si="23"/>
        <v/>
      </c>
      <c r="I99" s="17">
        <f t="shared" si="13"/>
        <v>43404</v>
      </c>
      <c r="J99" s="21">
        <f t="shared" si="14"/>
        <v>43404</v>
      </c>
      <c r="K99" s="19">
        <f t="shared" si="15"/>
        <v>43374</v>
      </c>
      <c r="L99" s="19">
        <f t="shared" si="16"/>
        <v>43404</v>
      </c>
      <c r="M99" s="18">
        <f t="shared" si="17"/>
        <v>43374</v>
      </c>
      <c r="N99" s="18">
        <f t="shared" si="18"/>
        <v>43404</v>
      </c>
      <c r="O99" s="7" t="str">
        <f t="shared" si="19"/>
        <v xml:space="preserve">Ноль </v>
      </c>
      <c r="P99" s="7" t="str">
        <f t="shared" si="20"/>
        <v>Долларов</v>
      </c>
      <c r="Q99" s="25">
        <f t="shared" si="21"/>
        <v>43417</v>
      </c>
      <c r="R99" s="26">
        <f t="shared" si="21"/>
        <v>43417</v>
      </c>
      <c r="S99" s="26">
        <f t="shared" si="22"/>
        <v>43423</v>
      </c>
      <c r="T99" s="7" t="e">
        <f>VLOOKUP($B99,emp_info!$C$3:$U$100,2,FALSE)</f>
        <v>#N/A</v>
      </c>
      <c r="U99" s="7" t="e">
        <f>VLOOKUP($B99,emp_info!$C$3:$U$100,3,FALSE)</f>
        <v>#N/A</v>
      </c>
      <c r="V99" s="25" t="e">
        <f>VLOOKUP($B99,emp_info!$C$3:$U$100,4,FALSE)</f>
        <v>#N/A</v>
      </c>
      <c r="W99" s="7" t="e">
        <f>VLOOKUP($B99,emp_info!$C$3:$U$100,5,FALSE)</f>
        <v>#N/A</v>
      </c>
      <c r="X99" s="25" t="e">
        <f>VLOOKUP($B99,emp_info!$C$3:$U$100,6,FALSE)</f>
        <v>#N/A</v>
      </c>
      <c r="Y99" s="7" t="e">
        <f>VLOOKUP($B99,emp_info!$C$3:$U$100,7,FALSE)</f>
        <v>#N/A</v>
      </c>
      <c r="Z99" s="7" t="e">
        <f>VLOOKUP($B99,emp_info!$C$3:$U$100,8,FALSE)</f>
        <v>#N/A</v>
      </c>
      <c r="AA99" s="7" t="e">
        <f>VLOOKUP($B99,emp_info!$C$3:$U$100,11,FALSE)</f>
        <v>#N/A</v>
      </c>
      <c r="AB99" s="7" t="e">
        <f>VLOOKUP($B99,emp_info!$C$3:$U$100,12,FALSE)</f>
        <v>#N/A</v>
      </c>
      <c r="AC99" s="7" t="e">
        <f>VLOOKUP($B99,emp_info!$C$3:$U$100,13,FALSE)</f>
        <v>#N/A</v>
      </c>
      <c r="AD99" s="7" t="e">
        <f>VLOOKUP($B99,emp_info!$C$3:$U$100,14,FALSE)</f>
        <v>#N/A</v>
      </c>
      <c r="AE99" s="7" t="e">
        <f>VLOOKUP($B99,emp_info!$C$3:$U$100,15,FALSE)</f>
        <v>#N/A</v>
      </c>
      <c r="AF99" s="7" t="e">
        <f>VLOOKUP($B99,emp_info!$C$3:$U$100,16,FALSE)</f>
        <v>#N/A</v>
      </c>
      <c r="AG99" s="7" t="e">
        <f>VLOOKUP($B99,emp_info!$C$3:$U$100,17,FALSE)</f>
        <v>#N/A</v>
      </c>
      <c r="AH99" s="7" t="e">
        <f>VLOOKUP($B99,emp_info!$C$3:$U$100,18,FALSE)</f>
        <v>#N/A</v>
      </c>
      <c r="AI99" s="7" t="e">
        <f>VLOOKUP($G99,contragent!$B$3:$I$10,2,FALSE)</f>
        <v>#N/A</v>
      </c>
      <c r="AJ99" s="7" t="e">
        <f>VLOOKUP($G99,contragent!$B$3:$I$10,3,FALSE)</f>
        <v>#N/A</v>
      </c>
      <c r="AK99" s="7" t="e">
        <f>VLOOKUP($G99,contragent!$B$3:$I$10,4,FALSE)</f>
        <v>#N/A</v>
      </c>
      <c r="AL99" s="7" t="e">
        <f>VLOOKUP($G99,contragent!$B$3:$I$10,5,FALSE)</f>
        <v>#N/A</v>
      </c>
      <c r="AM99" s="7" t="e">
        <f>VLOOKUP($G99,contragent!$B$3:$I$10,6,FALSE)</f>
        <v>#N/A</v>
      </c>
      <c r="AN99" s="7" t="e">
        <f>VLOOKUP($G99,contragent!$B$3:$I$10,7,FALSE)</f>
        <v>#N/A</v>
      </c>
      <c r="AO99" s="7" t="e">
        <f>VLOOKUP($G99,contragent!$B$3:$I$10,8,FALSE)</f>
        <v>#N/A</v>
      </c>
    </row>
    <row r="100" spans="2:41" x14ac:dyDescent="0.25">
      <c r="B100" s="9"/>
      <c r="C100" s="11">
        <f t="shared" si="12"/>
        <v>0</v>
      </c>
      <c r="D100" s="9">
        <f>IFERROR(VLOOKUP($B100,emp_info!$C$3:$U$100,19,FALSE),0)</f>
        <v>0</v>
      </c>
      <c r="E100" s="15">
        <v>0</v>
      </c>
      <c r="F100" s="9" t="e">
        <f>DATEDIF(VLOOKUP(B100,emp_info!$C$3:$U$100,6,FALSE),DATE($A$10,$A$8,DAY(VLOOKUP(B100,emp_info!$C$3:$U$100,6,FALSE))),"m")+_xlfn.IFNA(VLOOKUP(B100,emp_info!$C$3:$V$100,20,FALSE),0)</f>
        <v>#N/A</v>
      </c>
      <c r="G100" s="10"/>
      <c r="H100" s="11" t="str">
        <f>NumberstoWords(C100)</f>
        <v/>
      </c>
      <c r="I100" s="17">
        <f t="shared" si="13"/>
        <v>43404</v>
      </c>
      <c r="J100" s="21">
        <f t="shared" si="14"/>
        <v>43404</v>
      </c>
      <c r="K100" s="19">
        <f t="shared" si="15"/>
        <v>43374</v>
      </c>
      <c r="L100" s="19">
        <f t="shared" si="16"/>
        <v>43404</v>
      </c>
      <c r="M100" s="18">
        <f t="shared" si="17"/>
        <v>43374</v>
      </c>
      <c r="N100" s="18">
        <f t="shared" si="18"/>
        <v>43404</v>
      </c>
      <c r="O100" s="7" t="str">
        <f t="shared" si="19"/>
        <v xml:space="preserve">Ноль </v>
      </c>
      <c r="P100" s="7" t="str">
        <f t="shared" si="20"/>
        <v>Долларов</v>
      </c>
      <c r="Q100" s="25">
        <f t="shared" si="21"/>
        <v>43417</v>
      </c>
      <c r="R100" s="26">
        <f t="shared" si="21"/>
        <v>43417</v>
      </c>
      <c r="S100" s="26">
        <f t="shared" si="22"/>
        <v>43423</v>
      </c>
      <c r="T100" s="7" t="e">
        <f>VLOOKUP($B100,emp_info!$C$3:$U$100,2,FALSE)</f>
        <v>#N/A</v>
      </c>
      <c r="U100" s="7" t="e">
        <f>VLOOKUP($B100,emp_info!$C$3:$U$100,3,FALSE)</f>
        <v>#N/A</v>
      </c>
      <c r="V100" s="25" t="e">
        <f>VLOOKUP($B100,emp_info!$C$3:$U$100,4,FALSE)</f>
        <v>#N/A</v>
      </c>
      <c r="W100" s="7" t="e">
        <f>VLOOKUP($B100,emp_info!$C$3:$U$100,5,FALSE)</f>
        <v>#N/A</v>
      </c>
      <c r="X100" s="25" t="e">
        <f>VLOOKUP($B100,emp_info!$C$3:$U$100,6,FALSE)</f>
        <v>#N/A</v>
      </c>
      <c r="Y100" s="7" t="e">
        <f>VLOOKUP($B100,emp_info!$C$3:$U$100,7,FALSE)</f>
        <v>#N/A</v>
      </c>
      <c r="Z100" s="7" t="e">
        <f>VLOOKUP($B100,emp_info!$C$3:$U$100,8,FALSE)</f>
        <v>#N/A</v>
      </c>
      <c r="AA100" s="7" t="e">
        <f>VLOOKUP($B100,emp_info!$C$3:$U$100,11,FALSE)</f>
        <v>#N/A</v>
      </c>
      <c r="AB100" s="7" t="e">
        <f>VLOOKUP($B100,emp_info!$C$3:$U$100,12,FALSE)</f>
        <v>#N/A</v>
      </c>
      <c r="AC100" s="7" t="e">
        <f>VLOOKUP($B100,emp_info!$C$3:$U$100,13,FALSE)</f>
        <v>#N/A</v>
      </c>
      <c r="AD100" s="7" t="e">
        <f>VLOOKUP($B100,emp_info!$C$3:$U$100,14,FALSE)</f>
        <v>#N/A</v>
      </c>
      <c r="AE100" s="7" t="e">
        <f>VLOOKUP($B100,emp_info!$C$3:$U$100,15,FALSE)</f>
        <v>#N/A</v>
      </c>
      <c r="AF100" s="7" t="e">
        <f>VLOOKUP($B100,emp_info!$C$3:$U$100,16,FALSE)</f>
        <v>#N/A</v>
      </c>
      <c r="AG100" s="7" t="e">
        <f>VLOOKUP($B100,emp_info!$C$3:$U$100,17,FALSE)</f>
        <v>#N/A</v>
      </c>
      <c r="AH100" s="7" t="e">
        <f>VLOOKUP($B100,emp_info!$C$3:$U$100,18,FALSE)</f>
        <v>#N/A</v>
      </c>
      <c r="AI100" s="7" t="e">
        <f>VLOOKUP($G100,contragent!$B$3:$I$10,2,FALSE)</f>
        <v>#N/A</v>
      </c>
      <c r="AJ100" s="7" t="e">
        <f>VLOOKUP($G100,contragent!$B$3:$I$10,3,FALSE)</f>
        <v>#N/A</v>
      </c>
      <c r="AK100" s="7" t="e">
        <f>VLOOKUP($G100,contragent!$B$3:$I$10,4,FALSE)</f>
        <v>#N/A</v>
      </c>
      <c r="AL100" s="7" t="e">
        <f>VLOOKUP($G100,contragent!$B$3:$I$10,5,FALSE)</f>
        <v>#N/A</v>
      </c>
      <c r="AM100" s="7" t="e">
        <f>VLOOKUP($G100,contragent!$B$3:$I$10,6,FALSE)</f>
        <v>#N/A</v>
      </c>
      <c r="AN100" s="7" t="e">
        <f>VLOOKUP($G100,contragent!$B$3:$I$10,7,FALSE)</f>
        <v>#N/A</v>
      </c>
      <c r="AO100" s="7" t="e">
        <f>VLOOKUP($G100,contragent!$B$3:$I$10,8,FALSE)</f>
        <v>#N/A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contragent!$B$3:$B$4</xm:f>
          </x14:formula1>
          <xm:sqref>G3:G100</xm:sqref>
        </x14:dataValidation>
        <x14:dataValidation type="list" allowBlank="1" showInputMessage="1" showErrorMessage="1">
          <x14:formula1>
            <xm:f>emp_info!$C$3:$C$999</xm:f>
          </x14:formula1>
          <xm:sqref>B3:B100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4"/>
  <sheetViews>
    <sheetView workbookViewId="0">
      <selection activeCell="A4" sqref="A4"/>
    </sheetView>
  </sheetViews>
  <sheetFormatPr defaultRowHeight="15" x14ac:dyDescent="0.25"/>
  <cols>
    <col min="1" max="1" width="3.85546875" customWidth="1"/>
    <col min="2" max="2" width="27" customWidth="1"/>
    <col min="3" max="3" width="28" customWidth="1"/>
    <col min="4" max="4" width="22.7109375" bestFit="1" customWidth="1"/>
    <col min="5" max="5" width="32.28515625" customWidth="1"/>
    <col min="6" max="6" width="49.28515625" bestFit="1" customWidth="1"/>
    <col min="7" max="7" width="49.28515625" customWidth="1"/>
    <col min="8" max="8" width="17.5703125" bestFit="1" customWidth="1"/>
    <col min="9" max="9" width="15.42578125" bestFit="1" customWidth="1"/>
  </cols>
  <sheetData>
    <row r="1" spans="2:9" x14ac:dyDescent="0.25">
      <c r="B1" t="s">
        <v>31</v>
      </c>
      <c r="C1" t="s">
        <v>30</v>
      </c>
      <c r="D1" t="s">
        <v>29</v>
      </c>
      <c r="E1" t="s">
        <v>48</v>
      </c>
      <c r="F1" t="s">
        <v>33</v>
      </c>
      <c r="G1" t="s">
        <v>32</v>
      </c>
      <c r="H1" t="s">
        <v>61</v>
      </c>
      <c r="I1" t="s">
        <v>62</v>
      </c>
    </row>
    <row r="2" spans="2:9" ht="30" x14ac:dyDescent="0.25">
      <c r="B2" s="5" t="s">
        <v>98</v>
      </c>
      <c r="C2" s="5" t="s">
        <v>13</v>
      </c>
      <c r="D2" s="5" t="s">
        <v>99</v>
      </c>
      <c r="E2" s="5" t="s">
        <v>100</v>
      </c>
      <c r="F2" s="5" t="s">
        <v>101</v>
      </c>
      <c r="G2" s="6" t="s">
        <v>17</v>
      </c>
      <c r="H2" s="5" t="s">
        <v>102</v>
      </c>
      <c r="I2" s="5" t="s">
        <v>16</v>
      </c>
    </row>
    <row r="3" spans="2:9" ht="45" x14ac:dyDescent="0.25">
      <c r="B3" s="3" t="s">
        <v>15</v>
      </c>
      <c r="C3" s="3" t="s">
        <v>14</v>
      </c>
      <c r="D3" s="3" t="s">
        <v>71</v>
      </c>
      <c r="E3" s="3" t="s">
        <v>73</v>
      </c>
      <c r="F3" s="3" t="s">
        <v>74</v>
      </c>
      <c r="G3" s="3" t="s">
        <v>76</v>
      </c>
      <c r="H3" s="3" t="s">
        <v>72</v>
      </c>
      <c r="I3" s="3" t="s">
        <v>109</v>
      </c>
    </row>
    <row r="4" spans="2:9" ht="90" x14ac:dyDescent="0.25">
      <c r="B4" s="3" t="s">
        <v>19</v>
      </c>
      <c r="C4" s="3" t="s">
        <v>18</v>
      </c>
      <c r="D4" s="3" t="s">
        <v>70</v>
      </c>
      <c r="E4" s="3" t="s">
        <v>75</v>
      </c>
      <c r="F4" s="3" t="s">
        <v>77</v>
      </c>
      <c r="G4" s="3" t="s">
        <v>78</v>
      </c>
      <c r="H4" s="3" t="s">
        <v>72</v>
      </c>
      <c r="I4" s="3" t="s">
        <v>109</v>
      </c>
    </row>
  </sheetData>
  <pageMargins left="0.7" right="0.7" top="0.75" bottom="0.75" header="0.3" footer="0.3"/>
  <pageSetup paperSize="9" orientation="portrait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B111"/>
  <sheetViews>
    <sheetView workbookViewId="0">
      <selection activeCell="E3" sqref="E3"/>
    </sheetView>
  </sheetViews>
  <sheetFormatPr defaultRowHeight="15" x14ac:dyDescent="0.25"/>
  <cols>
    <col min="1" max="2" width="9.140625" style="4"/>
    <col min="3" max="3" width="28.42578125" style="4" customWidth="1"/>
    <col min="4" max="4" width="25" style="4" customWidth="1"/>
    <col min="5" max="5" width="12.28515625" style="4" customWidth="1"/>
    <col min="6" max="6" width="31.85546875" style="4" customWidth="1"/>
    <col min="7" max="7" width="19.140625" style="4" customWidth="1"/>
    <col min="8" max="8" width="16.7109375" style="4" customWidth="1"/>
    <col min="9" max="9" width="36.7109375" style="4" customWidth="1"/>
    <col min="10" max="10" width="31.42578125" style="4" customWidth="1"/>
    <col min="11" max="11" width="27.28515625" style="4" customWidth="1"/>
    <col min="12" max="12" width="19" style="4" customWidth="1"/>
    <col min="13" max="13" width="20.140625" style="4" customWidth="1"/>
    <col min="14" max="14" width="22.140625" style="4" customWidth="1"/>
    <col min="15" max="15" width="21.140625" style="4" customWidth="1"/>
    <col min="16" max="16" width="22.7109375" style="4" customWidth="1"/>
    <col min="17" max="17" width="20.28515625" style="4" customWidth="1"/>
    <col min="18" max="18" width="23.28515625" style="4" customWidth="1"/>
    <col min="19" max="19" width="30.42578125" style="4" customWidth="1"/>
    <col min="20" max="20" width="30.5703125" style="4" customWidth="1"/>
    <col min="21" max="21" width="21.7109375" style="4" customWidth="1"/>
    <col min="22" max="22" width="26" style="4" customWidth="1"/>
    <col min="23" max="23" width="8" style="4" bestFit="1" customWidth="1"/>
    <col min="24" max="26" width="9.140625" style="4"/>
    <col min="27" max="27" width="7.28515625" style="4" bestFit="1" customWidth="1"/>
    <col min="28" max="28" width="7.140625" style="4" bestFit="1" customWidth="1"/>
    <col min="29" max="16384" width="9.140625" style="4"/>
  </cols>
  <sheetData>
    <row r="1" spans="3:28" x14ac:dyDescent="0.25">
      <c r="C1" s="4" t="s">
        <v>21</v>
      </c>
      <c r="D1" s="4" t="s">
        <v>23</v>
      </c>
      <c r="E1" s="4" t="s">
        <v>20</v>
      </c>
      <c r="F1" s="4" t="s">
        <v>28</v>
      </c>
      <c r="G1" s="4" t="s">
        <v>24</v>
      </c>
      <c r="H1" s="4" t="s">
        <v>25</v>
      </c>
      <c r="I1" s="4" t="s">
        <v>26</v>
      </c>
      <c r="J1" s="4" t="s">
        <v>27</v>
      </c>
      <c r="M1" s="4" t="s">
        <v>55</v>
      </c>
      <c r="N1" s="4" t="s">
        <v>47</v>
      </c>
      <c r="O1" s="4" t="s">
        <v>49</v>
      </c>
      <c r="P1" s="4" t="s">
        <v>50</v>
      </c>
      <c r="Q1" s="4" t="s">
        <v>51</v>
      </c>
      <c r="R1" s="4" t="s">
        <v>52</v>
      </c>
      <c r="S1" s="4" t="s">
        <v>53</v>
      </c>
      <c r="T1" s="4" t="s">
        <v>54</v>
      </c>
      <c r="U1" s="4" t="s">
        <v>35</v>
      </c>
    </row>
    <row r="2" spans="3:28" ht="15" customHeight="1" x14ac:dyDescent="0.25">
      <c r="C2" s="1" t="s">
        <v>88</v>
      </c>
      <c r="D2" s="34" t="s">
        <v>22</v>
      </c>
      <c r="E2" s="1" t="s">
        <v>89</v>
      </c>
      <c r="F2" s="1" t="s">
        <v>90</v>
      </c>
      <c r="G2" s="1" t="s">
        <v>91</v>
      </c>
      <c r="H2" s="1" t="s">
        <v>108</v>
      </c>
      <c r="I2" s="1" t="s">
        <v>0</v>
      </c>
      <c r="J2" s="1" t="s">
        <v>1</v>
      </c>
      <c r="K2" s="1"/>
      <c r="L2" s="1"/>
      <c r="M2" s="1" t="s">
        <v>4</v>
      </c>
      <c r="N2" s="1" t="s">
        <v>5</v>
      </c>
      <c r="O2" s="1" t="s">
        <v>6</v>
      </c>
      <c r="P2" s="1" t="s">
        <v>7</v>
      </c>
      <c r="Q2" s="1" t="s">
        <v>8</v>
      </c>
      <c r="R2" s="1" t="s">
        <v>9</v>
      </c>
      <c r="S2" s="1" t="s">
        <v>10</v>
      </c>
      <c r="T2" s="1" t="s">
        <v>11</v>
      </c>
      <c r="U2" s="5" t="s">
        <v>94</v>
      </c>
      <c r="V2" s="5" t="s">
        <v>95</v>
      </c>
      <c r="W2" s="5"/>
      <c r="X2" s="5"/>
      <c r="Y2" s="5"/>
      <c r="Z2" s="6"/>
      <c r="AA2" s="5"/>
      <c r="AB2" s="5"/>
    </row>
    <row r="3" spans="3:28" ht="60" x14ac:dyDescent="0.25">
      <c r="C3" s="2" t="s">
        <v>79</v>
      </c>
      <c r="D3" s="2" t="s">
        <v>80</v>
      </c>
      <c r="E3" s="2">
        <v>123546987</v>
      </c>
      <c r="F3" s="22">
        <v>41705</v>
      </c>
      <c r="G3" s="2">
        <v>24</v>
      </c>
      <c r="H3" s="22">
        <v>43101</v>
      </c>
      <c r="I3" s="3" t="s">
        <v>3</v>
      </c>
      <c r="J3" s="3" t="s">
        <v>2</v>
      </c>
      <c r="K3" s="3"/>
      <c r="L3" s="3"/>
      <c r="M3" s="3" t="s">
        <v>82</v>
      </c>
      <c r="N3" s="3" t="s">
        <v>87</v>
      </c>
      <c r="O3" s="3" t="s">
        <v>86</v>
      </c>
      <c r="P3" s="3" t="s">
        <v>92</v>
      </c>
      <c r="Q3" s="3" t="s">
        <v>110</v>
      </c>
      <c r="R3" s="3" t="s">
        <v>85</v>
      </c>
      <c r="S3" s="2">
        <v>123654896</v>
      </c>
      <c r="T3" s="3" t="s">
        <v>96</v>
      </c>
      <c r="U3" s="3">
        <v>31</v>
      </c>
      <c r="V3" s="27">
        <v>-2</v>
      </c>
      <c r="W3" s="3"/>
      <c r="X3" s="3"/>
      <c r="Y3" s="3"/>
      <c r="Z3" s="3"/>
      <c r="AA3" s="3"/>
      <c r="AB3" s="3"/>
    </row>
    <row r="4" spans="3:28" ht="60" x14ac:dyDescent="0.25">
      <c r="C4" s="3" t="s">
        <v>83</v>
      </c>
      <c r="D4" s="3" t="s">
        <v>111</v>
      </c>
      <c r="E4" s="3">
        <v>196796420</v>
      </c>
      <c r="F4" s="23">
        <v>43039</v>
      </c>
      <c r="G4" s="3">
        <v>25</v>
      </c>
      <c r="H4" s="23">
        <v>43050</v>
      </c>
      <c r="I4" s="3" t="s">
        <v>81</v>
      </c>
      <c r="J4" s="3" t="s">
        <v>12</v>
      </c>
      <c r="K4" s="3"/>
      <c r="L4" s="3"/>
      <c r="M4" s="3" t="s">
        <v>84</v>
      </c>
      <c r="N4" s="3" t="s">
        <v>93</v>
      </c>
      <c r="O4" s="3" t="s">
        <v>86</v>
      </c>
      <c r="P4" s="3" t="s">
        <v>92</v>
      </c>
      <c r="Q4" s="3" t="s">
        <v>110</v>
      </c>
      <c r="R4" s="3" t="s">
        <v>85</v>
      </c>
      <c r="S4" s="3">
        <v>9965411</v>
      </c>
      <c r="T4" s="3" t="s">
        <v>97</v>
      </c>
      <c r="U4" s="3">
        <v>22</v>
      </c>
      <c r="V4" s="27">
        <v>1</v>
      </c>
      <c r="W4" s="3"/>
      <c r="X4" s="3"/>
      <c r="Y4" s="3"/>
      <c r="Z4" s="3"/>
      <c r="AA4" s="3"/>
      <c r="AB4" s="3"/>
    </row>
    <row r="5" spans="3:28" ht="33.75" customHeight="1" x14ac:dyDescent="0.25">
      <c r="F5" s="24"/>
      <c r="H5" s="24"/>
      <c r="N5" s="3"/>
      <c r="O5" s="3"/>
      <c r="V5" s="28"/>
    </row>
    <row r="6" spans="3:28" x14ac:dyDescent="0.25">
      <c r="F6" s="24"/>
      <c r="H6" s="24"/>
      <c r="V6" s="28"/>
    </row>
    <row r="7" spans="3:28" x14ac:dyDescent="0.25">
      <c r="F7" s="24"/>
      <c r="H7" s="24"/>
      <c r="V7" s="28"/>
    </row>
    <row r="8" spans="3:28" x14ac:dyDescent="0.25">
      <c r="F8" s="24"/>
      <c r="H8" s="24"/>
      <c r="V8" s="28"/>
    </row>
    <row r="9" spans="3:28" x14ac:dyDescent="0.25">
      <c r="F9" s="24"/>
      <c r="H9" s="24"/>
      <c r="V9" s="28"/>
    </row>
    <row r="10" spans="3:28" x14ac:dyDescent="0.25">
      <c r="F10" s="24"/>
      <c r="H10" s="24"/>
      <c r="V10" s="28"/>
    </row>
    <row r="11" spans="3:28" x14ac:dyDescent="0.25">
      <c r="F11" s="24"/>
      <c r="H11" s="24"/>
      <c r="V11" s="28"/>
    </row>
    <row r="12" spans="3:28" x14ac:dyDescent="0.25">
      <c r="F12" s="24"/>
      <c r="H12" s="24"/>
      <c r="V12" s="28"/>
    </row>
    <row r="13" spans="3:28" x14ac:dyDescent="0.25">
      <c r="F13" s="24"/>
      <c r="H13" s="24"/>
      <c r="V13" s="28"/>
    </row>
    <row r="14" spans="3:28" x14ac:dyDescent="0.25">
      <c r="F14" s="24"/>
      <c r="H14" s="24"/>
      <c r="V14" s="28"/>
    </row>
    <row r="15" spans="3:28" x14ac:dyDescent="0.25">
      <c r="F15" s="24"/>
      <c r="H15" s="24"/>
      <c r="V15" s="28"/>
    </row>
    <row r="16" spans="3:28" x14ac:dyDescent="0.25">
      <c r="F16" s="24"/>
      <c r="H16" s="24"/>
      <c r="V16" s="28"/>
    </row>
    <row r="17" spans="6:22" x14ac:dyDescent="0.25">
      <c r="F17" s="24"/>
      <c r="H17" s="24"/>
      <c r="V17" s="28"/>
    </row>
    <row r="18" spans="6:22" x14ac:dyDescent="0.25">
      <c r="F18" s="24"/>
      <c r="H18" s="24"/>
      <c r="V18" s="28"/>
    </row>
    <row r="19" spans="6:22" x14ac:dyDescent="0.25">
      <c r="F19" s="24"/>
      <c r="H19" s="24"/>
      <c r="V19" s="28"/>
    </row>
    <row r="20" spans="6:22" x14ac:dyDescent="0.25">
      <c r="F20" s="24"/>
      <c r="H20" s="24"/>
      <c r="V20" s="28"/>
    </row>
    <row r="21" spans="6:22" x14ac:dyDescent="0.25">
      <c r="F21" s="24"/>
      <c r="H21" s="24"/>
      <c r="V21" s="28"/>
    </row>
    <row r="22" spans="6:22" x14ac:dyDescent="0.25">
      <c r="F22" s="24"/>
      <c r="H22" s="24"/>
      <c r="V22" s="28"/>
    </row>
    <row r="23" spans="6:22" x14ac:dyDescent="0.25">
      <c r="F23" s="24"/>
      <c r="H23" s="24"/>
      <c r="V23" s="28"/>
    </row>
    <row r="24" spans="6:22" x14ac:dyDescent="0.25">
      <c r="F24" s="24"/>
      <c r="H24" s="24"/>
      <c r="V24" s="28"/>
    </row>
    <row r="25" spans="6:22" x14ac:dyDescent="0.25">
      <c r="F25" s="24"/>
      <c r="H25" s="24"/>
      <c r="V25" s="28"/>
    </row>
    <row r="26" spans="6:22" x14ac:dyDescent="0.25">
      <c r="F26" s="24"/>
      <c r="H26" s="24"/>
      <c r="V26" s="28"/>
    </row>
    <row r="27" spans="6:22" x14ac:dyDescent="0.25">
      <c r="F27" s="24"/>
      <c r="H27" s="24"/>
      <c r="V27" s="28"/>
    </row>
    <row r="28" spans="6:22" x14ac:dyDescent="0.25">
      <c r="F28" s="24"/>
      <c r="H28" s="24"/>
      <c r="V28" s="28"/>
    </row>
    <row r="29" spans="6:22" x14ac:dyDescent="0.25">
      <c r="F29" s="24"/>
      <c r="H29" s="24"/>
      <c r="V29" s="28"/>
    </row>
    <row r="30" spans="6:22" x14ac:dyDescent="0.25">
      <c r="F30" s="24"/>
      <c r="H30" s="24"/>
      <c r="V30" s="28"/>
    </row>
    <row r="31" spans="6:22" x14ac:dyDescent="0.25">
      <c r="F31" s="24"/>
      <c r="H31" s="24"/>
      <c r="V31" s="28"/>
    </row>
    <row r="32" spans="6:22" x14ac:dyDescent="0.25">
      <c r="F32" s="24"/>
      <c r="H32" s="24"/>
      <c r="V32" s="28"/>
    </row>
    <row r="33" spans="6:22" x14ac:dyDescent="0.25">
      <c r="F33" s="24"/>
      <c r="H33" s="24"/>
      <c r="V33" s="28"/>
    </row>
    <row r="34" spans="6:22" x14ac:dyDescent="0.25">
      <c r="F34" s="24"/>
      <c r="H34" s="24"/>
      <c r="V34" s="28"/>
    </row>
    <row r="35" spans="6:22" x14ac:dyDescent="0.25">
      <c r="F35" s="24"/>
      <c r="H35" s="24"/>
      <c r="V35" s="28"/>
    </row>
    <row r="36" spans="6:22" x14ac:dyDescent="0.25">
      <c r="F36" s="24"/>
      <c r="H36" s="24"/>
      <c r="V36" s="28"/>
    </row>
    <row r="37" spans="6:22" x14ac:dyDescent="0.25">
      <c r="F37" s="24"/>
      <c r="H37" s="24"/>
      <c r="V37" s="28"/>
    </row>
    <row r="38" spans="6:22" x14ac:dyDescent="0.25">
      <c r="F38" s="24"/>
      <c r="H38" s="24"/>
      <c r="V38" s="28"/>
    </row>
    <row r="39" spans="6:22" x14ac:dyDescent="0.25">
      <c r="F39" s="24"/>
      <c r="H39" s="24"/>
      <c r="V39" s="28"/>
    </row>
    <row r="40" spans="6:22" x14ac:dyDescent="0.25">
      <c r="F40" s="24"/>
      <c r="H40" s="24"/>
      <c r="V40" s="28"/>
    </row>
    <row r="41" spans="6:22" x14ac:dyDescent="0.25">
      <c r="F41" s="24"/>
      <c r="H41" s="24"/>
      <c r="V41" s="28"/>
    </row>
    <row r="42" spans="6:22" x14ac:dyDescent="0.25">
      <c r="F42" s="24"/>
      <c r="H42" s="24"/>
      <c r="V42" s="28"/>
    </row>
    <row r="43" spans="6:22" x14ac:dyDescent="0.25">
      <c r="F43" s="24"/>
      <c r="H43" s="24"/>
      <c r="V43" s="28"/>
    </row>
    <row r="44" spans="6:22" x14ac:dyDescent="0.25">
      <c r="F44" s="24"/>
      <c r="H44" s="24"/>
      <c r="V44" s="28"/>
    </row>
    <row r="45" spans="6:22" x14ac:dyDescent="0.25">
      <c r="F45" s="24"/>
      <c r="H45" s="24"/>
      <c r="V45" s="28"/>
    </row>
    <row r="46" spans="6:22" x14ac:dyDescent="0.25">
      <c r="F46" s="24"/>
      <c r="H46" s="24"/>
      <c r="V46" s="28"/>
    </row>
    <row r="47" spans="6:22" x14ac:dyDescent="0.25">
      <c r="F47" s="24"/>
      <c r="H47" s="24"/>
      <c r="V47" s="28"/>
    </row>
    <row r="48" spans="6:22" x14ac:dyDescent="0.25">
      <c r="F48" s="24"/>
      <c r="H48" s="24"/>
      <c r="V48" s="28"/>
    </row>
    <row r="49" spans="6:22" x14ac:dyDescent="0.25">
      <c r="F49" s="24"/>
      <c r="H49" s="24"/>
      <c r="V49" s="28"/>
    </row>
    <row r="50" spans="6:22" x14ac:dyDescent="0.25">
      <c r="F50" s="24"/>
      <c r="H50" s="24"/>
      <c r="V50" s="28"/>
    </row>
    <row r="51" spans="6:22" x14ac:dyDescent="0.25">
      <c r="F51" s="24"/>
      <c r="H51" s="24"/>
      <c r="V51" s="28"/>
    </row>
    <row r="52" spans="6:22" x14ac:dyDescent="0.25">
      <c r="F52" s="24"/>
      <c r="H52" s="24"/>
      <c r="V52" s="28"/>
    </row>
    <row r="53" spans="6:22" x14ac:dyDescent="0.25">
      <c r="F53" s="24"/>
      <c r="H53" s="24"/>
      <c r="V53" s="28"/>
    </row>
    <row r="54" spans="6:22" x14ac:dyDescent="0.25">
      <c r="F54" s="24"/>
      <c r="H54" s="24"/>
      <c r="V54" s="28"/>
    </row>
    <row r="55" spans="6:22" x14ac:dyDescent="0.25">
      <c r="F55" s="24"/>
      <c r="H55" s="24"/>
      <c r="V55" s="28"/>
    </row>
    <row r="56" spans="6:22" x14ac:dyDescent="0.25">
      <c r="F56" s="24"/>
      <c r="H56" s="24"/>
      <c r="V56" s="28"/>
    </row>
    <row r="57" spans="6:22" x14ac:dyDescent="0.25">
      <c r="F57" s="24"/>
      <c r="H57" s="24"/>
      <c r="V57" s="28"/>
    </row>
    <row r="58" spans="6:22" x14ac:dyDescent="0.25">
      <c r="F58" s="24"/>
      <c r="H58" s="24"/>
      <c r="V58" s="28"/>
    </row>
    <row r="59" spans="6:22" x14ac:dyDescent="0.25">
      <c r="F59" s="24"/>
      <c r="H59" s="24"/>
      <c r="V59" s="28"/>
    </row>
    <row r="60" spans="6:22" x14ac:dyDescent="0.25">
      <c r="F60" s="24"/>
      <c r="H60" s="24"/>
      <c r="V60" s="28"/>
    </row>
    <row r="61" spans="6:22" x14ac:dyDescent="0.25">
      <c r="F61" s="24"/>
      <c r="H61" s="24"/>
      <c r="V61" s="28"/>
    </row>
    <row r="62" spans="6:22" x14ac:dyDescent="0.25">
      <c r="F62" s="24"/>
      <c r="H62" s="24"/>
      <c r="V62" s="28"/>
    </row>
    <row r="63" spans="6:22" x14ac:dyDescent="0.25">
      <c r="F63" s="24"/>
      <c r="H63" s="24"/>
      <c r="V63" s="28"/>
    </row>
    <row r="64" spans="6:22" x14ac:dyDescent="0.25">
      <c r="F64" s="24"/>
      <c r="H64" s="24"/>
      <c r="V64" s="28"/>
    </row>
    <row r="65" spans="6:22" x14ac:dyDescent="0.25">
      <c r="F65" s="24"/>
      <c r="H65" s="24"/>
      <c r="V65" s="28"/>
    </row>
    <row r="66" spans="6:22" x14ac:dyDescent="0.25">
      <c r="F66" s="24"/>
      <c r="H66" s="24"/>
      <c r="V66" s="28"/>
    </row>
    <row r="67" spans="6:22" x14ac:dyDescent="0.25">
      <c r="F67" s="24"/>
      <c r="H67" s="24"/>
      <c r="V67" s="28"/>
    </row>
    <row r="68" spans="6:22" x14ac:dyDescent="0.25">
      <c r="F68" s="24"/>
      <c r="H68" s="24"/>
      <c r="V68" s="28"/>
    </row>
    <row r="69" spans="6:22" x14ac:dyDescent="0.25">
      <c r="F69" s="24"/>
      <c r="H69" s="24"/>
      <c r="V69" s="28"/>
    </row>
    <row r="70" spans="6:22" x14ac:dyDescent="0.25">
      <c r="F70" s="24"/>
      <c r="H70" s="24"/>
      <c r="V70" s="28"/>
    </row>
    <row r="71" spans="6:22" x14ac:dyDescent="0.25">
      <c r="F71" s="24"/>
      <c r="H71" s="24"/>
      <c r="V71" s="28"/>
    </row>
    <row r="72" spans="6:22" x14ac:dyDescent="0.25">
      <c r="F72" s="24"/>
      <c r="H72" s="24"/>
      <c r="V72" s="28"/>
    </row>
    <row r="73" spans="6:22" x14ac:dyDescent="0.25">
      <c r="F73" s="24"/>
      <c r="H73" s="24"/>
      <c r="V73" s="28"/>
    </row>
    <row r="74" spans="6:22" x14ac:dyDescent="0.25">
      <c r="F74" s="24"/>
      <c r="H74" s="24"/>
      <c r="V74" s="28"/>
    </row>
    <row r="75" spans="6:22" x14ac:dyDescent="0.25">
      <c r="F75" s="24"/>
      <c r="H75" s="24"/>
      <c r="V75" s="28"/>
    </row>
    <row r="76" spans="6:22" x14ac:dyDescent="0.25">
      <c r="F76" s="24"/>
      <c r="H76" s="24"/>
      <c r="V76" s="28"/>
    </row>
    <row r="77" spans="6:22" x14ac:dyDescent="0.25">
      <c r="F77" s="24"/>
      <c r="H77" s="24"/>
      <c r="V77" s="28"/>
    </row>
    <row r="78" spans="6:22" x14ac:dyDescent="0.25">
      <c r="F78" s="24"/>
      <c r="H78" s="24"/>
      <c r="V78" s="28"/>
    </row>
    <row r="79" spans="6:22" x14ac:dyDescent="0.25">
      <c r="F79" s="24"/>
      <c r="H79" s="24"/>
      <c r="V79" s="28"/>
    </row>
    <row r="80" spans="6:22" x14ac:dyDescent="0.25">
      <c r="F80" s="24"/>
      <c r="H80" s="24"/>
      <c r="V80" s="28"/>
    </row>
    <row r="81" spans="6:22" x14ac:dyDescent="0.25">
      <c r="F81" s="24"/>
      <c r="H81" s="24"/>
      <c r="V81" s="28"/>
    </row>
    <row r="82" spans="6:22" x14ac:dyDescent="0.25">
      <c r="F82" s="24"/>
      <c r="H82" s="24"/>
      <c r="V82" s="28"/>
    </row>
    <row r="83" spans="6:22" x14ac:dyDescent="0.25">
      <c r="F83" s="24"/>
      <c r="H83" s="24"/>
      <c r="V83" s="28"/>
    </row>
    <row r="84" spans="6:22" x14ac:dyDescent="0.25">
      <c r="F84" s="24"/>
      <c r="H84" s="24"/>
      <c r="V84" s="28"/>
    </row>
    <row r="85" spans="6:22" x14ac:dyDescent="0.25">
      <c r="F85" s="24"/>
      <c r="H85" s="24"/>
      <c r="V85" s="28"/>
    </row>
    <row r="86" spans="6:22" x14ac:dyDescent="0.25">
      <c r="F86" s="24"/>
      <c r="H86" s="24"/>
      <c r="V86" s="28"/>
    </row>
    <row r="87" spans="6:22" x14ac:dyDescent="0.25">
      <c r="F87" s="24"/>
      <c r="H87" s="24"/>
      <c r="V87" s="28"/>
    </row>
    <row r="88" spans="6:22" x14ac:dyDescent="0.25">
      <c r="F88" s="24"/>
      <c r="H88" s="24"/>
      <c r="V88" s="28"/>
    </row>
    <row r="89" spans="6:22" x14ac:dyDescent="0.25">
      <c r="F89" s="24"/>
      <c r="H89" s="24"/>
      <c r="V89" s="28"/>
    </row>
    <row r="90" spans="6:22" x14ac:dyDescent="0.25">
      <c r="F90" s="24"/>
      <c r="H90" s="24"/>
      <c r="V90" s="28"/>
    </row>
    <row r="91" spans="6:22" x14ac:dyDescent="0.25">
      <c r="F91" s="24"/>
      <c r="H91" s="24"/>
      <c r="V91" s="28"/>
    </row>
    <row r="92" spans="6:22" x14ac:dyDescent="0.25">
      <c r="F92" s="24"/>
      <c r="H92" s="24"/>
      <c r="V92" s="28"/>
    </row>
    <row r="93" spans="6:22" x14ac:dyDescent="0.25">
      <c r="F93" s="24"/>
      <c r="H93" s="24"/>
      <c r="V93" s="28"/>
    </row>
    <row r="94" spans="6:22" x14ac:dyDescent="0.25">
      <c r="F94" s="24"/>
      <c r="H94" s="24"/>
      <c r="V94" s="28"/>
    </row>
    <row r="95" spans="6:22" x14ac:dyDescent="0.25">
      <c r="F95" s="24"/>
      <c r="H95" s="24"/>
      <c r="V95" s="28"/>
    </row>
    <row r="96" spans="6:22" x14ac:dyDescent="0.25">
      <c r="F96" s="24"/>
      <c r="H96" s="24"/>
      <c r="V96" s="28"/>
    </row>
    <row r="97" spans="6:22" x14ac:dyDescent="0.25">
      <c r="F97" s="24"/>
      <c r="H97" s="24"/>
      <c r="V97" s="28"/>
    </row>
    <row r="98" spans="6:22" x14ac:dyDescent="0.25">
      <c r="F98" s="24"/>
      <c r="H98" s="24"/>
      <c r="V98" s="28"/>
    </row>
    <row r="99" spans="6:22" x14ac:dyDescent="0.25">
      <c r="F99" s="24"/>
      <c r="H99" s="24"/>
      <c r="V99" s="28"/>
    </row>
    <row r="100" spans="6:22" x14ac:dyDescent="0.25">
      <c r="F100" s="24"/>
      <c r="H100" s="24"/>
      <c r="V100" s="28"/>
    </row>
    <row r="101" spans="6:22" x14ac:dyDescent="0.25">
      <c r="V101" s="28"/>
    </row>
    <row r="102" spans="6:22" x14ac:dyDescent="0.25">
      <c r="V102" s="28"/>
    </row>
    <row r="103" spans="6:22" x14ac:dyDescent="0.25">
      <c r="V103" s="28"/>
    </row>
    <row r="104" spans="6:22" x14ac:dyDescent="0.25">
      <c r="V104" s="28"/>
    </row>
    <row r="105" spans="6:22" x14ac:dyDescent="0.25">
      <c r="V105" s="28"/>
    </row>
    <row r="106" spans="6:22" x14ac:dyDescent="0.25">
      <c r="V106" s="28"/>
    </row>
    <row r="107" spans="6:22" x14ac:dyDescent="0.25">
      <c r="V107" s="28"/>
    </row>
    <row r="108" spans="6:22" x14ac:dyDescent="0.25">
      <c r="V108" s="28"/>
    </row>
    <row r="109" spans="6:22" x14ac:dyDescent="0.25">
      <c r="V109" s="28"/>
    </row>
    <row r="110" spans="6:22" x14ac:dyDescent="0.25">
      <c r="V110" s="28"/>
    </row>
    <row r="111" spans="6:22" x14ac:dyDescent="0.25">
      <c r="V111" s="2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cur_data</vt:lpstr>
      <vt:lpstr>contragent</vt:lpstr>
      <vt:lpstr>emp_info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vov</dc:creator>
  <cp:lastModifiedBy>vov</cp:lastModifiedBy>
  <dcterms:created xsi:type="dcterms:W3CDTF">2015-06-05T18:19:34Z</dcterms:created>
  <dcterms:modified xsi:type="dcterms:W3CDTF">2019-10-22T09:36:54Z</dcterms:modified>
</cp:coreProperties>
</file>